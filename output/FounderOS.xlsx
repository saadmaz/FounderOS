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tables/table11.xml" ContentType="application/vnd.openxmlformats-officedocument.spreadsheetml.table+xml"/>
  <Override PartName="/xl/worksheets/sheet4.xml" ContentType="application/vnd.openxmlformats-officedocument.spreadsheetml.worksheet+xml"/>
  <Override PartName="/xl/tables/table12.xml" ContentType="application/vnd.openxmlformats-officedocument.spreadsheetml.table+xml"/>
  <Override PartName="/xl/worksheets/sheet5.xml" ContentType="application/vnd.openxmlformats-officedocument.spreadsheetml.worksheet+xml"/>
  <Override PartName="/xl/tables/table13.xml" ContentType="application/vnd.openxmlformats-officedocument.spreadsheetml.table+xml"/>
  <Override PartName="/xl/worksheets/sheet6.xml" ContentType="application/vnd.openxmlformats-officedocument.spreadsheetml.worksheet+xml"/>
  <Override PartName="/xl/tables/table14.xml" ContentType="application/vnd.openxmlformats-officedocument.spreadsheetml.table+xml"/>
  <Override PartName="/xl/worksheets/sheet7.xml" ContentType="application/vnd.openxmlformats-officedocument.spreadsheetml.worksheet+xml"/>
  <Override PartName="/xl/tables/table1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  <sheet name="Lookups" sheetId="2" state="visible" r:id="rId2"/>
    <sheet name="Companies" sheetId="3" state="visible" r:id="rId3"/>
    <sheet name="Employees" sheetId="4" state="visible" r:id="rId4"/>
    <sheet name="Projects" sheetId="5" state="visible" r:id="rId5"/>
    <sheet name="Tasks" sheetId="6" state="visible" r:id="rId6"/>
    <sheet name="Time_Log" sheetId="7" state="visible" r:id="rId7"/>
  </sheets>
  <definedNames>
    <definedName name="List_Departments">'Lookups'!$B$4:INDEX('Lookups'!$B:$B,COUNTA('Lookups'!$B:$B))</definedName>
    <definedName name="List_Priority">'Lookups'!$D$4:INDEX('Lookups'!$D:$D,COUNTA('Lookups'!$D:$D))</definedName>
    <definedName name="List_Statuses">'Lookups'!$F$4:INDEX('Lookups'!$F:$F,COUNTA('Lookups'!$F:$F))</definedName>
    <definedName name="List_CompanyStatus">'Lookups'!$H$4:INDEX('Lookups'!$H:$H,COUNTA('Lookups'!$H:$H))</definedName>
    <definedName name="List_CompanyStage">'Lookups'!$J$4:INDEX('Lookups'!$J:$J,COUNTA('Lookups'!$J:$J))</definedName>
    <definedName name="List_TaskTypes">'Lookups'!$L$4:INDEX('Lookups'!$L:$L,COUNTA('Lookups'!$L:$L))</definedName>
    <definedName name="List_Currencies">'Lookups'!$N$4:INDEX('Lookups'!$N:$N,COUNTA('Lookups'!$N:$N))</definedName>
    <definedName name="List_TimeCategories">'Lookups'!$P$4:INDEX('Lookups'!$P:$P,COUNTA('Lookups'!$P:$P))</definedName>
    <definedName name="List_Billable">'Lookups'!$R$4:INDEX('Lookups'!$R:$R,COUNTA('Lookups'!$R:$R))</definedName>
    <definedName name="List_EmployeeStatus">'Lookups'!$T$4:INDEX('Lookups'!$T:$T,COUNTA('Lookups'!$T:$T))</definedName>
    <definedName name="List_CompanyNames">'Companies'!$C$4:INDEX('Companies'!$C:$C,COUNTA('Companies'!$C:$C))</definedName>
    <definedName name="List_EmployeeNames">'Employees'!$C$4:INDEX('Employees'!$C:$C,COUNTA('Employees'!$C:$C))</definedName>
    <definedName name="List_ProjectNames">'Projects'!$D$4:INDEX('Projects'!$D:$D,COUNTA('Projects'!$D:$D))</definedName>
    <definedName name="List_TaskIDs">'Tasks'!$B$4:INDEX('Tasks'!$B:$B,COUNTA('Tasks'!$B:$B))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hh:mm"/>
  </numFmts>
  <fonts count="9">
    <font>
      <name val="Calibri"/>
      <family val="2"/>
      <color theme="1"/>
      <sz val="11"/>
      <scheme val="minor"/>
    </font>
    <font>
      <name val="Segoe UI"/>
      <b val="1"/>
      <color rgb="001F2937"/>
      <sz val="14"/>
    </font>
    <font>
      <name val="Segoe UI"/>
      <i val="1"/>
      <color rgb="006B7280"/>
      <sz val="9"/>
    </font>
    <font>
      <name val="Segoe UI"/>
      <b val="1"/>
      <color rgb="00FFFFFF"/>
      <sz val="11"/>
    </font>
    <font>
      <name val="Segoe UI"/>
      <color rgb="00111827"/>
      <sz val="10"/>
    </font>
    <font>
      <name val="Segoe UI"/>
      <b val="1"/>
      <color rgb="00FFFFFF"/>
      <sz val="22"/>
    </font>
    <font>
      <name val="Segoe UI"/>
      <b val="1"/>
      <color rgb="006B7280"/>
      <sz val="9"/>
    </font>
    <font>
      <name val="Segoe UI"/>
      <b val="1"/>
      <color rgb="00FFFFFF"/>
      <sz val="9"/>
    </font>
    <font>
      <name val="Segoe UI"/>
      <b val="1"/>
      <color rgb="001F2937"/>
      <sz val="22"/>
    </font>
  </fonts>
  <fills count="9">
    <fill>
      <patternFill/>
    </fill>
    <fill>
      <patternFill patternType="gray125"/>
    </fill>
    <fill>
      <patternFill patternType="solid">
        <fgColor rgb="006B7280"/>
      </patternFill>
    </fill>
    <fill>
      <patternFill patternType="solid">
        <fgColor rgb="000D9488"/>
      </patternFill>
    </fill>
    <fill>
      <patternFill patternType="solid">
        <fgColor rgb="002563EB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DB2777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8" borderId="0" applyAlignment="1" pivotButton="0" quotePrefix="0" xfId="0">
      <alignment horizontal="left" vertical="center" indent="2"/>
    </xf>
    <xf numFmtId="0" fontId="0" fillId="8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4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4" fillId="0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6" fontId="4" fillId="0" borderId="1" pivotButton="0" quotePrefix="0" xfId="0"/>
    <xf numFmtId="2" fontId="4" fillId="0" borderId="1" pivotButton="0" quotePrefix="0" xfId="0"/>
  </cellXfs>
  <cellStyles count="1">
    <cellStyle name="Normal" xfId="0" builtinId="0" hidden="0"/>
  </cellStyles>
  <dxfs count="7">
    <dxf>
      <font>
        <name val="Segoe UI"/>
        <b val="1"/>
        <color rgb="00FFFFFF"/>
      </font>
      <fill>
        <patternFill patternType="solid">
          <fgColor rgb="0016A34A"/>
        </patternFill>
      </fill>
    </dxf>
    <dxf>
      <font>
        <name val="Segoe UI"/>
        <b val="1"/>
        <color rgb="00FFFFFF"/>
      </font>
      <fill>
        <patternFill patternType="solid">
          <fgColor rgb="00F59E0B"/>
        </patternFill>
      </fill>
    </dxf>
    <dxf>
      <font>
        <name val="Segoe UI"/>
        <b val="1"/>
        <color rgb="00FFFFFF"/>
      </font>
      <fill>
        <patternFill patternType="solid">
          <fgColor rgb="006B7280"/>
        </patternFill>
      </fill>
    </dxf>
    <dxf>
      <font>
        <name val="Segoe UI"/>
        <b val="1"/>
        <color rgb="00FFFFFF"/>
      </font>
      <fill>
        <patternFill patternType="solid">
          <fgColor rgb="002563EB"/>
        </patternFill>
      </fill>
    </dxf>
    <dxf>
      <font>
        <name val="Segoe UI"/>
        <b val="1"/>
        <color rgb="00FFFFFF"/>
      </font>
      <fill>
        <patternFill patternType="solid">
          <fgColor rgb="00DC2626"/>
        </patternFill>
      </fill>
    </dxf>
    <dxf>
      <font>
        <name val="Segoe UI"/>
        <b val="1"/>
        <color rgb="00FFFFFF"/>
      </font>
      <fill>
        <patternFill patternType="solid">
          <fgColor rgb="007C3AED"/>
        </patternFill>
      </fill>
    </dxf>
    <dxf>
      <font>
        <name val="Segoe UI"/>
        <b val="1"/>
        <color rgb="00FFFFFF"/>
        <sz val="11"/>
      </font>
      <fill>
        <patternFill patternType="solid">
          <fgColor rgb="00DC262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Hours Logged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'Companies'!U3</f>
            </strRef>
          </tx>
          <spPr>
            <a:ln>
              <a:prstDash val="solid"/>
            </a:ln>
          </spPr>
          <cat>
            <numRef>
              <f>'Companies'!$C$4:$C$6</f>
            </numRef>
          </cat>
          <val>
            <numRef>
              <f>'Companies'!$U$4:$U$6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24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Lookup_Departments" displayName="Tbl_Lookup_Departments" ref="B3:B13" headerRowCount="1">
  <autoFilter ref="B3:B13"/>
  <tableColumns count="1">
    <tableColumn id="2" name="Departmen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Lookup_PriorityLevels" displayName="Tbl_Lookup_PriorityLevels" ref="D3:D7" headerRowCount="1">
  <autoFilter ref="D3:D7"/>
  <tableColumns count="1">
    <tableColumn id="4" name="Priority Level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Lookup_Statuses" displayName="Tbl_Lookup_Statuses" ref="F3:F10" headerRowCount="1">
  <autoFilter ref="F3:F10"/>
  <tableColumns count="1">
    <tableColumn id="6" name="Status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_Lookup_CompanyStatus" displayName="Tbl_Lookup_CompanyStatus" ref="H3:H7" headerRowCount="1">
  <autoFilter ref="H3:H7"/>
  <tableColumns count="1">
    <tableColumn id="8" name="Company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_Lookup_CompanyStage" displayName="Tbl_Lookup_CompanyStage" ref="J3:J9" headerRowCount="1">
  <autoFilter ref="J3:J9"/>
  <tableColumns count="1">
    <tableColumn id="10" name="Company Stag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_Lookup_TaskTypes" displayName="Tbl_Lookup_TaskTypes" ref="L3:L11" headerRowCount="1">
  <autoFilter ref="L3:L11"/>
  <tableColumns count="1">
    <tableColumn id="12" name="Task Typ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_Lookup_Currencies" displayName="Tbl_Lookup_Currencies" ref="N3:N11" headerRowCount="1">
  <autoFilter ref="N3:N11"/>
  <tableColumns count="1">
    <tableColumn id="14" name="Currenci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_Lookup_TimeCategories" displayName="Tbl_Lookup_TimeCategories" ref="P3:P8" headerRowCount="1">
  <autoFilter ref="P3:P8"/>
  <tableColumns count="1">
    <tableColumn id="16" name="Time Categori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_Lookup_Billable" displayName="Tbl_Lookup_Billable" ref="R3:R5" headerRowCount="1">
  <autoFilter ref="R3:R5"/>
  <tableColumns count="1">
    <tableColumn id="18" name="Billabl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_Lookup_EmployeeStatus" displayName="Tbl_Lookup_EmployeeStatus" ref="T3:T6" headerRowCount="1">
  <autoFilter ref="T3:T6"/>
  <tableColumns count="1">
    <tableColumn id="20" name="Employee Statu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_Companies" displayName="Tbl_Companies" ref="B3:V6" headerRowCount="1">
  <autoFilter ref="B3:V6"/>
  <tableColumns count="21">
    <tableColumn id="2" name="Company ID"/>
    <tableColumn id="3" name="Company Name"/>
    <tableColumn id="4" name="Legal Name"/>
    <tableColumn id="5" name="Industry"/>
    <tableColumn id="6" name="Business Type"/>
    <tableColumn id="7" name="Website"/>
    <tableColumn id="8" name="Email"/>
    <tableColumn id="9" name="Phone"/>
    <tableColumn id="10" name="Country"/>
    <tableColumn id="11" name="Currency"/>
    <tableColumn id="12" name="Founder"/>
    <tableColumn id="13" name="Status"/>
    <tableColumn id="14" name="Date Started"/>
    <tableColumn id="15" name="Stage"/>
    <tableColumn id="16" name="Employees"/>
    <tableColumn id="17" name="Total Projects"/>
    <tableColumn id="18" name="Active Projects"/>
    <tableColumn id="19" name="Open Tasks"/>
    <tableColumn id="20" name="Completed Tasks"/>
    <tableColumn id="21" name="Hours Logged"/>
    <tableColumn id="22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bl_Employees" displayName="Tbl_Employees" ref="B3:M9" headerRowCount="1">
  <autoFilter ref="B3:M9"/>
  <tableColumns count="12">
    <tableColumn id="2" name="Employee ID"/>
    <tableColumn id="3" name="Name"/>
    <tableColumn id="4" name="Email"/>
    <tableColumn id="5" name="Role / Title"/>
    <tableColumn id="6" name="Department"/>
    <tableColumn id="7" name="Primary Company"/>
    <tableColumn id="8" name="Status"/>
    <tableColumn id="9" name="Start Date"/>
    <tableColumn id="10" name="Open Tasks"/>
    <tableColumn id="11" name="Hours Logged"/>
    <tableColumn id="12" name="Skills"/>
    <tableColumn id="13" name="Not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bl_Projects" displayName="Tbl_Projects" ref="B3:R10" headerRowCount="1">
  <autoFilter ref="B3:R10"/>
  <tableColumns count="17">
    <tableColumn id="2" name="Project ID"/>
    <tableColumn id="3" name="Company"/>
    <tableColumn id="4" name="Project Name"/>
    <tableColumn id="5" name="Description"/>
    <tableColumn id="6" name="Priority"/>
    <tableColumn id="7" name="Department"/>
    <tableColumn id="8" name="Owner"/>
    <tableColumn id="9" name="Status"/>
    <tableColumn id="10" name="Start Date"/>
    <tableColumn id="11" name="End Date"/>
    <tableColumn id="12" name="Estimated Hours"/>
    <tableColumn id="13" name="Actual Hours"/>
    <tableColumn id="14" name="Remaining Hours"/>
    <tableColumn id="15" name="Total Tasks"/>
    <tableColumn id="16" name="Completed Tasks"/>
    <tableColumn id="17" name="Completion %"/>
    <tableColumn id="18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_Tasks" displayName="Tbl_Tasks" ref="B3:Q20" headerRowCount="1">
  <autoFilter ref="B3:Q20"/>
  <tableColumns count="16">
    <tableColumn id="2" name="Task ID"/>
    <tableColumn id="3" name="Task Name"/>
    <tableColumn id="4" name="Project"/>
    <tableColumn id="5" name="Company"/>
    <tableColumn id="6" name="Department"/>
    <tableColumn id="7" name="Owner"/>
    <tableColumn id="8" name="Task Type"/>
    <tableColumn id="9" name="Priority"/>
    <tableColumn id="10" name="Status"/>
    <tableColumn id="11" name="Created Date"/>
    <tableColumn id="12" name="Due Date"/>
    <tableColumn id="13" name="Completed Date"/>
    <tableColumn id="14" name="Estimated Hours"/>
    <tableColumn id="15" name="Actual Hours"/>
    <tableColumn id="16" name="Progress %"/>
    <tableColumn id="17" name="Not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bl_TimeLog" displayName="Tbl_TimeLog" ref="B3:O21" headerRowCount="1">
  <autoFilter ref="B3:O21"/>
  <tableColumns count="14">
    <tableColumn id="2" name="Log ID"/>
    <tableColumn id="3" name="Task"/>
    <tableColumn id="4" name="Task Name"/>
    <tableColumn id="5" name="Project"/>
    <tableColumn id="6" name="Company"/>
    <tableColumn id="7" name="Employee"/>
    <tableColumn id="8" name="Date"/>
    <tableColumn id="9" name="Start Time"/>
    <tableColumn id="10" name="End Time"/>
    <tableColumn id="11" name="Break (min)"/>
    <tableColumn id="12" name="Total Hours"/>
    <tableColumn id="13" name="Billable"/>
    <tableColumn id="14" name="Category"/>
    <tableColumn id="15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B2:R5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4" customWidth="1" min="4" max="4"/>
    <col width="11" customWidth="1" min="5" max="5"/>
    <col width="10" customWidth="1" min="6" max="6"/>
    <col width="11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2">
      <c r="B2" s="1" t="inlineStr">
        <is>
          <t>🚀 FounderOS — Founder Dashboard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16" customHeight="1">
      <c r="B5" s="3">
        <f>CONCATENATE("Live snapshot as of ",TEXT(TODAY(),"dddd, mmmm d, yyyy")," — every number below is a live formula, nothing here is typed by hand.")</f>
        <v/>
      </c>
    </row>
    <row r="7">
      <c r="B7" s="4" t="inlineStr">
        <is>
          <t>NAVIGATE</t>
        </is>
      </c>
    </row>
    <row r="8" ht="26" customHeight="1">
      <c r="B8" s="5">
        <f>HYPERLINK("#'Companies'!B4","🏢 Companies")</f>
        <v/>
      </c>
      <c r="E8" s="6">
        <f>HYPERLINK("#'Projects'!B4","📁 Projects")</f>
        <v/>
      </c>
      <c r="H8" s="7">
        <f>HYPERLINK("#'Tasks'!B4","✅ Tasks")</f>
        <v/>
      </c>
      <c r="K8" s="8">
        <f>HYPERLINK("#'Time_Log'!B4","⏱️ Time Log")</f>
        <v/>
      </c>
      <c r="N8" s="9">
        <f>HYPERLINK("#'Employees'!B4","🧑‍💼 Employees")</f>
        <v/>
      </c>
      <c r="Q8" s="10">
        <f>HYPERLINK("#'Lookups'!B4","⚙️ Lookups")</f>
        <v/>
      </c>
    </row>
    <row r="10">
      <c r="B10" s="4" t="inlineStr">
        <is>
          <t>KEY METRICS</t>
        </is>
      </c>
    </row>
    <row r="11" ht="18" customHeight="1">
      <c r="B11" s="11" t="inlineStr">
        <is>
          <t>Total Companies</t>
        </is>
      </c>
      <c r="C11" s="12" t="n"/>
      <c r="D11" s="12" t="n"/>
      <c r="E11" s="11" t="inlineStr">
        <is>
          <t>Active Companies</t>
        </is>
      </c>
      <c r="F11" s="12" t="n"/>
      <c r="G11" s="12" t="n"/>
      <c r="H11" s="13" t="inlineStr">
        <is>
          <t>Total Projects</t>
        </is>
      </c>
      <c r="I11" s="12" t="n"/>
      <c r="J11" s="12" t="n"/>
    </row>
    <row r="12">
      <c r="B12" s="14">
        <f>COUNTA(Tbl_Companies[Company ID])</f>
        <v/>
      </c>
      <c r="C12" s="12" t="n"/>
      <c r="D12" s="12" t="n"/>
      <c r="E12" s="14">
        <f>COUNTIF(Tbl_Companies[Status],"Active")</f>
        <v/>
      </c>
      <c r="F12" s="12" t="n"/>
      <c r="G12" s="12" t="n"/>
      <c r="H12" s="14">
        <f>COUNTA(Tbl_Projects[Project ID])</f>
        <v/>
      </c>
      <c r="I12" s="12" t="n"/>
      <c r="J12" s="12" t="n"/>
    </row>
    <row r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5" ht="18" customHeight="1">
      <c r="B15" s="13" t="inlineStr">
        <is>
          <t>Active Projects</t>
        </is>
      </c>
      <c r="C15" s="12" t="n"/>
      <c r="D15" s="12" t="n"/>
      <c r="E15" s="15" t="inlineStr">
        <is>
          <t>Open Tasks</t>
        </is>
      </c>
      <c r="F15" s="12" t="n"/>
      <c r="G15" s="12" t="n"/>
      <c r="H15" s="15" t="inlineStr">
        <is>
          <t>Overdue Tasks</t>
        </is>
      </c>
      <c r="I15" s="12" t="n"/>
      <c r="J15" s="12" t="n"/>
    </row>
    <row r="16">
      <c r="B16" s="14">
        <f>COUNTIFS(Tbl_Projects[Status],"&lt;&gt;Completed",Tbl_Projects[Status],"&lt;&gt;Cancelled")</f>
        <v/>
      </c>
      <c r="C16" s="12" t="n"/>
      <c r="D16" s="12" t="n"/>
      <c r="E16" s="14">
        <f>COUNTIFS(Tbl_Tasks[Status],"&lt;&gt;Completed",Tbl_Tasks[Status],"&lt;&gt;Cancelled")</f>
        <v/>
      </c>
      <c r="F16" s="12" t="n"/>
      <c r="G16" s="12" t="n"/>
      <c r="H16" s="14">
        <f>COUNTIFS(Tbl_Tasks[Due Date],"&lt;"&amp;TODAY(),Tbl_Tasks[Status],"&lt;&gt;Completed",Tbl_Tasks[Status],"&lt;&gt;Cancelled")</f>
        <v/>
      </c>
      <c r="I16" s="12" t="n"/>
      <c r="J16" s="12" t="n"/>
    </row>
    <row r="17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9" ht="18" customHeight="1">
      <c r="B19" s="15" t="inlineStr">
        <is>
          <t>Due This Week</t>
        </is>
      </c>
      <c r="C19" s="12" t="n"/>
      <c r="D19" s="12" t="n"/>
      <c r="E19" s="16" t="inlineStr">
        <is>
          <t>Hours Logged (This Month)</t>
        </is>
      </c>
      <c r="F19" s="12" t="n"/>
      <c r="G19" s="12" t="n"/>
      <c r="H19" s="16" t="inlineStr">
        <is>
          <t>Total Hours Logged</t>
        </is>
      </c>
      <c r="I19" s="12" t="n"/>
      <c r="J19" s="12" t="n"/>
    </row>
    <row r="20">
      <c r="B20" s="14">
        <f>COUNTIFS(Tbl_Tasks[Due Date],"&gt;="&amp;TODAY(),Tbl_Tasks[Due Date],"&lt;="&amp;(TODAY()+7),Tbl_Tasks[Status],"&lt;&gt;Completed",Tbl_Tasks[Status],"&lt;&gt;Cancelled")</f>
        <v/>
      </c>
      <c r="C20" s="12" t="n"/>
      <c r="D20" s="12" t="n"/>
      <c r="E20" s="14">
        <f>ROUND(SUMIFS(Tbl_TimeLog[Total Hours],Tbl_TimeLog[Date],"&gt;="&amp;DATE(YEAR(TODAY()),MONTH(TODAY()),1)),1)</f>
        <v/>
      </c>
      <c r="F20" s="12" t="n"/>
      <c r="G20" s="12" t="n"/>
      <c r="H20" s="14">
        <f>ROUND(SUM(Tbl_TimeLog[Total Hours]),1)</f>
        <v/>
      </c>
      <c r="I20" s="12" t="n"/>
      <c r="J20" s="12" t="n"/>
    </row>
    <row r="21"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4">
      <c r="B24" s="4" t="inlineStr">
        <is>
          <t>COMPANY SNAPSHOT</t>
        </is>
      </c>
    </row>
    <row r="25">
      <c r="B25" s="17" t="inlineStr">
        <is>
          <t>Company</t>
        </is>
      </c>
      <c r="C25" s="17" t="inlineStr">
        <is>
          <t>Status</t>
        </is>
      </c>
      <c r="D25" s="17" t="inlineStr">
        <is>
          <t>Stage</t>
        </is>
      </c>
      <c r="E25" s="17" t="inlineStr">
        <is>
          <t>Employees</t>
        </is>
      </c>
      <c r="F25" s="17" t="inlineStr">
        <is>
          <t>Projects</t>
        </is>
      </c>
      <c r="G25" s="17" t="inlineStr">
        <is>
          <t>Open Tasks</t>
        </is>
      </c>
      <c r="H25" s="17" t="inlineStr">
        <is>
          <t>Hours Logged</t>
        </is>
      </c>
    </row>
    <row r="26">
      <c r="B26" s="18">
        <f>IF(ROW()-25&lt;=COUNTA(Tbl_Companies[Company ID]),IFERROR(Companies!C4,""),"")</f>
        <v/>
      </c>
      <c r="C26" s="18">
        <f>IF(ROW()-25&lt;=COUNTA(Tbl_Companies[Company ID]),IFERROR(Companies!M4,""),"")</f>
        <v/>
      </c>
      <c r="D26" s="18">
        <f>IF(ROW()-25&lt;=COUNTA(Tbl_Companies[Company ID]),IFERROR(Companies!O4,""),"")</f>
        <v/>
      </c>
      <c r="E26" s="18">
        <f>IF(ROW()-25&lt;=COUNTA(Tbl_Companies[Company ID]),IFERROR(Companies!P4,""),"")</f>
        <v/>
      </c>
      <c r="F26" s="18">
        <f>IF(ROW()-25&lt;=COUNTA(Tbl_Companies[Company ID]),IFERROR(Companies!Q4,""),"")</f>
        <v/>
      </c>
      <c r="G26" s="18">
        <f>IF(ROW()-25&lt;=COUNTA(Tbl_Companies[Company ID]),IFERROR(Companies!S4,""),"")</f>
        <v/>
      </c>
      <c r="H26" s="19">
        <f>IF(ROW()-25&lt;=COUNTA(Tbl_Companies[Company ID]),IFERROR(Companies!U4,""),"")</f>
        <v/>
      </c>
    </row>
    <row r="27">
      <c r="B27" s="18">
        <f>IF(ROW()-25&lt;=COUNTA(Tbl_Companies[Company ID]),IFERROR(Companies!C5,""),"")</f>
        <v/>
      </c>
      <c r="C27" s="18">
        <f>IF(ROW()-25&lt;=COUNTA(Tbl_Companies[Company ID]),IFERROR(Companies!M5,""),"")</f>
        <v/>
      </c>
      <c r="D27" s="18">
        <f>IF(ROW()-25&lt;=COUNTA(Tbl_Companies[Company ID]),IFERROR(Companies!O5,""),"")</f>
        <v/>
      </c>
      <c r="E27" s="18">
        <f>IF(ROW()-25&lt;=COUNTA(Tbl_Companies[Company ID]),IFERROR(Companies!P5,""),"")</f>
        <v/>
      </c>
      <c r="F27" s="18">
        <f>IF(ROW()-25&lt;=COUNTA(Tbl_Companies[Company ID]),IFERROR(Companies!Q5,""),"")</f>
        <v/>
      </c>
      <c r="G27" s="18">
        <f>IF(ROW()-25&lt;=COUNTA(Tbl_Companies[Company ID]),IFERROR(Companies!S5,""),"")</f>
        <v/>
      </c>
      <c r="H27" s="19">
        <f>IF(ROW()-25&lt;=COUNTA(Tbl_Companies[Company ID]),IFERROR(Companies!U5,""),"")</f>
        <v/>
      </c>
    </row>
    <row r="28">
      <c r="B28" s="18">
        <f>IF(ROW()-25&lt;=COUNTA(Tbl_Companies[Company ID]),IFERROR(Companies!C6,""),"")</f>
        <v/>
      </c>
      <c r="C28" s="18">
        <f>IF(ROW()-25&lt;=COUNTA(Tbl_Companies[Company ID]),IFERROR(Companies!M6,""),"")</f>
        <v/>
      </c>
      <c r="D28" s="18">
        <f>IF(ROW()-25&lt;=COUNTA(Tbl_Companies[Company ID]),IFERROR(Companies!O6,""),"")</f>
        <v/>
      </c>
      <c r="E28" s="18">
        <f>IF(ROW()-25&lt;=COUNTA(Tbl_Companies[Company ID]),IFERROR(Companies!P6,""),"")</f>
        <v/>
      </c>
      <c r="F28" s="18">
        <f>IF(ROW()-25&lt;=COUNTA(Tbl_Companies[Company ID]),IFERROR(Companies!Q6,""),"")</f>
        <v/>
      </c>
      <c r="G28" s="18">
        <f>IF(ROW()-25&lt;=COUNTA(Tbl_Companies[Company ID]),IFERROR(Companies!S6,""),"")</f>
        <v/>
      </c>
      <c r="H28" s="19">
        <f>IF(ROW()-25&lt;=COUNTA(Tbl_Companies[Company ID]),IFERROR(Companies!U6,""),"")</f>
        <v/>
      </c>
    </row>
    <row r="29">
      <c r="B29" s="18">
        <f>IF(ROW()-25&lt;=COUNTA(Tbl_Companies[Company ID]),IFERROR(Companies!C7,""),"")</f>
        <v/>
      </c>
      <c r="C29" s="18">
        <f>IF(ROW()-25&lt;=COUNTA(Tbl_Companies[Company ID]),IFERROR(Companies!M7,""),"")</f>
        <v/>
      </c>
      <c r="D29" s="18">
        <f>IF(ROW()-25&lt;=COUNTA(Tbl_Companies[Company ID]),IFERROR(Companies!O7,""),"")</f>
        <v/>
      </c>
      <c r="E29" s="18">
        <f>IF(ROW()-25&lt;=COUNTA(Tbl_Companies[Company ID]),IFERROR(Companies!P7,""),"")</f>
        <v/>
      </c>
      <c r="F29" s="18">
        <f>IF(ROW()-25&lt;=COUNTA(Tbl_Companies[Company ID]),IFERROR(Companies!Q7,""),"")</f>
        <v/>
      </c>
      <c r="G29" s="18">
        <f>IF(ROW()-25&lt;=COUNTA(Tbl_Companies[Company ID]),IFERROR(Companies!S7,""),"")</f>
        <v/>
      </c>
      <c r="H29" s="19">
        <f>IF(ROW()-25&lt;=COUNTA(Tbl_Companies[Company ID]),IFERROR(Companies!U7,""),"")</f>
        <v/>
      </c>
    </row>
    <row r="30">
      <c r="B30" s="18">
        <f>IF(ROW()-25&lt;=COUNTA(Tbl_Companies[Company ID]),IFERROR(Companies!C8,""),"")</f>
        <v/>
      </c>
      <c r="C30" s="18">
        <f>IF(ROW()-25&lt;=COUNTA(Tbl_Companies[Company ID]),IFERROR(Companies!M8,""),"")</f>
        <v/>
      </c>
      <c r="D30" s="18">
        <f>IF(ROW()-25&lt;=COUNTA(Tbl_Companies[Company ID]),IFERROR(Companies!O8,""),"")</f>
        <v/>
      </c>
      <c r="E30" s="18">
        <f>IF(ROW()-25&lt;=COUNTA(Tbl_Companies[Company ID]),IFERROR(Companies!P8,""),"")</f>
        <v/>
      </c>
      <c r="F30" s="18">
        <f>IF(ROW()-25&lt;=COUNTA(Tbl_Companies[Company ID]),IFERROR(Companies!Q8,""),"")</f>
        <v/>
      </c>
      <c r="G30" s="18">
        <f>IF(ROW()-25&lt;=COUNTA(Tbl_Companies[Company ID]),IFERROR(Companies!S8,""),"")</f>
        <v/>
      </c>
      <c r="H30" s="19">
        <f>IF(ROW()-25&lt;=COUNTA(Tbl_Companies[Company ID]),IFERROR(Companies!U8,""),"")</f>
        <v/>
      </c>
    </row>
    <row r="31">
      <c r="B31" s="18">
        <f>IF(ROW()-25&lt;=COUNTA(Tbl_Companies[Company ID]),IFERROR(Companies!C9,""),"")</f>
        <v/>
      </c>
      <c r="C31" s="18">
        <f>IF(ROW()-25&lt;=COUNTA(Tbl_Companies[Company ID]),IFERROR(Companies!M9,""),"")</f>
        <v/>
      </c>
      <c r="D31" s="18">
        <f>IF(ROW()-25&lt;=COUNTA(Tbl_Companies[Company ID]),IFERROR(Companies!O9,""),"")</f>
        <v/>
      </c>
      <c r="E31" s="18">
        <f>IF(ROW()-25&lt;=COUNTA(Tbl_Companies[Company ID]),IFERROR(Companies!P9,""),"")</f>
        <v/>
      </c>
      <c r="F31" s="18">
        <f>IF(ROW()-25&lt;=COUNTA(Tbl_Companies[Company ID]),IFERROR(Companies!Q9,""),"")</f>
        <v/>
      </c>
      <c r="G31" s="18">
        <f>IF(ROW()-25&lt;=COUNTA(Tbl_Companies[Company ID]),IFERROR(Companies!S9,""),"")</f>
        <v/>
      </c>
      <c r="H31" s="19">
        <f>IF(ROW()-25&lt;=COUNTA(Tbl_Companies[Company ID]),IFERROR(Companies!U9,""),"")</f>
        <v/>
      </c>
    </row>
    <row r="32">
      <c r="B32" s="18">
        <f>IF(ROW()-25&lt;=COUNTA(Tbl_Companies[Company ID]),IFERROR(Companies!C10,""),"")</f>
        <v/>
      </c>
      <c r="C32" s="18">
        <f>IF(ROW()-25&lt;=COUNTA(Tbl_Companies[Company ID]),IFERROR(Companies!M10,""),"")</f>
        <v/>
      </c>
      <c r="D32" s="18">
        <f>IF(ROW()-25&lt;=COUNTA(Tbl_Companies[Company ID]),IFERROR(Companies!O10,""),"")</f>
        <v/>
      </c>
      <c r="E32" s="18">
        <f>IF(ROW()-25&lt;=COUNTA(Tbl_Companies[Company ID]),IFERROR(Companies!P10,""),"")</f>
        <v/>
      </c>
      <c r="F32" s="18">
        <f>IF(ROW()-25&lt;=COUNTA(Tbl_Companies[Company ID]),IFERROR(Companies!Q10,""),"")</f>
        <v/>
      </c>
      <c r="G32" s="18">
        <f>IF(ROW()-25&lt;=COUNTA(Tbl_Companies[Company ID]),IFERROR(Companies!S10,""),"")</f>
        <v/>
      </c>
      <c r="H32" s="19">
        <f>IF(ROW()-25&lt;=COUNTA(Tbl_Companies[Company ID]),IFERROR(Companies!U10,""),"")</f>
        <v/>
      </c>
    </row>
    <row r="33">
      <c r="B33" s="18">
        <f>IF(ROW()-25&lt;=COUNTA(Tbl_Companies[Company ID]),IFERROR(Companies!C11,""),"")</f>
        <v/>
      </c>
      <c r="C33" s="18">
        <f>IF(ROW()-25&lt;=COUNTA(Tbl_Companies[Company ID]),IFERROR(Companies!M11,""),"")</f>
        <v/>
      </c>
      <c r="D33" s="18">
        <f>IF(ROW()-25&lt;=COUNTA(Tbl_Companies[Company ID]),IFERROR(Companies!O11,""),"")</f>
        <v/>
      </c>
      <c r="E33" s="18">
        <f>IF(ROW()-25&lt;=COUNTA(Tbl_Companies[Company ID]),IFERROR(Companies!P11,""),"")</f>
        <v/>
      </c>
      <c r="F33" s="18">
        <f>IF(ROW()-25&lt;=COUNTA(Tbl_Companies[Company ID]),IFERROR(Companies!Q11,""),"")</f>
        <v/>
      </c>
      <c r="G33" s="18">
        <f>IF(ROW()-25&lt;=COUNTA(Tbl_Companies[Company ID]),IFERROR(Companies!S11,""),"")</f>
        <v/>
      </c>
      <c r="H33" s="19">
        <f>IF(ROW()-25&lt;=COUNTA(Tbl_Companies[Company ID]),IFERROR(Companies!U11,""),"")</f>
        <v/>
      </c>
    </row>
    <row r="34">
      <c r="B34" s="18">
        <f>IF(ROW()-25&lt;=COUNTA(Tbl_Companies[Company ID]),IFERROR(Companies!C12,""),"")</f>
        <v/>
      </c>
      <c r="C34" s="18">
        <f>IF(ROW()-25&lt;=COUNTA(Tbl_Companies[Company ID]),IFERROR(Companies!M12,""),"")</f>
        <v/>
      </c>
      <c r="D34" s="18">
        <f>IF(ROW()-25&lt;=COUNTA(Tbl_Companies[Company ID]),IFERROR(Companies!O12,""),"")</f>
        <v/>
      </c>
      <c r="E34" s="18">
        <f>IF(ROW()-25&lt;=COUNTA(Tbl_Companies[Company ID]),IFERROR(Companies!P12,""),"")</f>
        <v/>
      </c>
      <c r="F34" s="18">
        <f>IF(ROW()-25&lt;=COUNTA(Tbl_Companies[Company ID]),IFERROR(Companies!Q12,""),"")</f>
        <v/>
      </c>
      <c r="G34" s="18">
        <f>IF(ROW()-25&lt;=COUNTA(Tbl_Companies[Company ID]),IFERROR(Companies!S12,""),"")</f>
        <v/>
      </c>
      <c r="H34" s="19">
        <f>IF(ROW()-25&lt;=COUNTA(Tbl_Companies[Company ID]),IFERROR(Companies!U12,""),"")</f>
        <v/>
      </c>
    </row>
    <row r="35">
      <c r="B35" s="18">
        <f>IF(ROW()-25&lt;=COUNTA(Tbl_Companies[Company ID]),IFERROR(Companies!C13,""),"")</f>
        <v/>
      </c>
      <c r="C35" s="18">
        <f>IF(ROW()-25&lt;=COUNTA(Tbl_Companies[Company ID]),IFERROR(Companies!M13,""),"")</f>
        <v/>
      </c>
      <c r="D35" s="18">
        <f>IF(ROW()-25&lt;=COUNTA(Tbl_Companies[Company ID]),IFERROR(Companies!O13,""),"")</f>
        <v/>
      </c>
      <c r="E35" s="18">
        <f>IF(ROW()-25&lt;=COUNTA(Tbl_Companies[Company ID]),IFERROR(Companies!P13,""),"")</f>
        <v/>
      </c>
      <c r="F35" s="18">
        <f>IF(ROW()-25&lt;=COUNTA(Tbl_Companies[Company ID]),IFERROR(Companies!Q13,""),"")</f>
        <v/>
      </c>
      <c r="G35" s="18">
        <f>IF(ROW()-25&lt;=COUNTA(Tbl_Companies[Company ID]),IFERROR(Companies!S13,""),"")</f>
        <v/>
      </c>
      <c r="H35" s="19">
        <f>IF(ROW()-25&lt;=COUNTA(Tbl_Companies[Company ID]),IFERROR(Companies!U13,""),"")</f>
        <v/>
      </c>
    </row>
    <row r="36">
      <c r="B36" s="18">
        <f>IF(ROW()-25&lt;=COUNTA(Tbl_Companies[Company ID]),IFERROR(Companies!C14,""),"")</f>
        <v/>
      </c>
      <c r="C36" s="18">
        <f>IF(ROW()-25&lt;=COUNTA(Tbl_Companies[Company ID]),IFERROR(Companies!M14,""),"")</f>
        <v/>
      </c>
      <c r="D36" s="18">
        <f>IF(ROW()-25&lt;=COUNTA(Tbl_Companies[Company ID]),IFERROR(Companies!O14,""),"")</f>
        <v/>
      </c>
      <c r="E36" s="18">
        <f>IF(ROW()-25&lt;=COUNTA(Tbl_Companies[Company ID]),IFERROR(Companies!P14,""),"")</f>
        <v/>
      </c>
      <c r="F36" s="18">
        <f>IF(ROW()-25&lt;=COUNTA(Tbl_Companies[Company ID]),IFERROR(Companies!Q14,""),"")</f>
        <v/>
      </c>
      <c r="G36" s="18">
        <f>IF(ROW()-25&lt;=COUNTA(Tbl_Companies[Company ID]),IFERROR(Companies!S14,""),"")</f>
        <v/>
      </c>
      <c r="H36" s="19">
        <f>IF(ROW()-25&lt;=COUNTA(Tbl_Companies[Company ID]),IFERROR(Companies!U14,""),"")</f>
        <v/>
      </c>
    </row>
    <row r="37">
      <c r="B37" s="18">
        <f>IF(ROW()-25&lt;=COUNTA(Tbl_Companies[Company ID]),IFERROR(Companies!C15,""),"")</f>
        <v/>
      </c>
      <c r="C37" s="18">
        <f>IF(ROW()-25&lt;=COUNTA(Tbl_Companies[Company ID]),IFERROR(Companies!M15,""),"")</f>
        <v/>
      </c>
      <c r="D37" s="18">
        <f>IF(ROW()-25&lt;=COUNTA(Tbl_Companies[Company ID]),IFERROR(Companies!O15,""),"")</f>
        <v/>
      </c>
      <c r="E37" s="18">
        <f>IF(ROW()-25&lt;=COUNTA(Tbl_Companies[Company ID]),IFERROR(Companies!P15,""),"")</f>
        <v/>
      </c>
      <c r="F37" s="18">
        <f>IF(ROW()-25&lt;=COUNTA(Tbl_Companies[Company ID]),IFERROR(Companies!Q15,""),"")</f>
        <v/>
      </c>
      <c r="G37" s="18">
        <f>IF(ROW()-25&lt;=COUNTA(Tbl_Companies[Company ID]),IFERROR(Companies!S15,""),"")</f>
        <v/>
      </c>
      <c r="H37" s="19">
        <f>IF(ROW()-25&lt;=COUNTA(Tbl_Companies[Company ID]),IFERROR(Companies!U15,""),"")</f>
        <v/>
      </c>
    </row>
    <row r="38">
      <c r="B38" s="18">
        <f>IF(ROW()-25&lt;=COUNTA(Tbl_Companies[Company ID]),IFERROR(Companies!C16,""),"")</f>
        <v/>
      </c>
      <c r="C38" s="18">
        <f>IF(ROW()-25&lt;=COUNTA(Tbl_Companies[Company ID]),IFERROR(Companies!M16,""),"")</f>
        <v/>
      </c>
      <c r="D38" s="18">
        <f>IF(ROW()-25&lt;=COUNTA(Tbl_Companies[Company ID]),IFERROR(Companies!O16,""),"")</f>
        <v/>
      </c>
      <c r="E38" s="18">
        <f>IF(ROW()-25&lt;=COUNTA(Tbl_Companies[Company ID]),IFERROR(Companies!P16,""),"")</f>
        <v/>
      </c>
      <c r="F38" s="18">
        <f>IF(ROW()-25&lt;=COUNTA(Tbl_Companies[Company ID]),IFERROR(Companies!Q16,""),"")</f>
        <v/>
      </c>
      <c r="G38" s="18">
        <f>IF(ROW()-25&lt;=COUNTA(Tbl_Companies[Company ID]),IFERROR(Companies!S16,""),"")</f>
        <v/>
      </c>
      <c r="H38" s="19">
        <f>IF(ROW()-25&lt;=COUNTA(Tbl_Companies[Company ID]),IFERROR(Companies!U16,""),"")</f>
        <v/>
      </c>
    </row>
    <row r="39">
      <c r="B39" s="18">
        <f>IF(ROW()-25&lt;=COUNTA(Tbl_Companies[Company ID]),IFERROR(Companies!C17,""),"")</f>
        <v/>
      </c>
      <c r="C39" s="18">
        <f>IF(ROW()-25&lt;=COUNTA(Tbl_Companies[Company ID]),IFERROR(Companies!M17,""),"")</f>
        <v/>
      </c>
      <c r="D39" s="18">
        <f>IF(ROW()-25&lt;=COUNTA(Tbl_Companies[Company ID]),IFERROR(Companies!O17,""),"")</f>
        <v/>
      </c>
      <c r="E39" s="18">
        <f>IF(ROW()-25&lt;=COUNTA(Tbl_Companies[Company ID]),IFERROR(Companies!P17,""),"")</f>
        <v/>
      </c>
      <c r="F39" s="18">
        <f>IF(ROW()-25&lt;=COUNTA(Tbl_Companies[Company ID]),IFERROR(Companies!Q17,""),"")</f>
        <v/>
      </c>
      <c r="G39" s="18">
        <f>IF(ROW()-25&lt;=COUNTA(Tbl_Companies[Company ID]),IFERROR(Companies!S17,""),"")</f>
        <v/>
      </c>
      <c r="H39" s="19">
        <f>IF(ROW()-25&lt;=COUNTA(Tbl_Companies[Company ID]),IFERROR(Companies!U17,""),"")</f>
        <v/>
      </c>
    </row>
    <row r="40">
      <c r="B40" s="18">
        <f>IF(ROW()-25&lt;=COUNTA(Tbl_Companies[Company ID]),IFERROR(Companies!C18,""),"")</f>
        <v/>
      </c>
      <c r="C40" s="18">
        <f>IF(ROW()-25&lt;=COUNTA(Tbl_Companies[Company ID]),IFERROR(Companies!M18,""),"")</f>
        <v/>
      </c>
      <c r="D40" s="18">
        <f>IF(ROW()-25&lt;=COUNTA(Tbl_Companies[Company ID]),IFERROR(Companies!O18,""),"")</f>
        <v/>
      </c>
      <c r="E40" s="18">
        <f>IF(ROW()-25&lt;=COUNTA(Tbl_Companies[Company ID]),IFERROR(Companies!P18,""),"")</f>
        <v/>
      </c>
      <c r="F40" s="18">
        <f>IF(ROW()-25&lt;=COUNTA(Tbl_Companies[Company ID]),IFERROR(Companies!Q18,""),"")</f>
        <v/>
      </c>
      <c r="G40" s="18">
        <f>IF(ROW()-25&lt;=COUNTA(Tbl_Companies[Company ID]),IFERROR(Companies!S18,""),"")</f>
        <v/>
      </c>
      <c r="H40" s="19">
        <f>IF(ROW()-25&lt;=COUNTA(Tbl_Companies[Company ID]),IFERROR(Companies!U18,""),"")</f>
        <v/>
      </c>
    </row>
    <row r="41">
      <c r="B41" s="18">
        <f>IF(ROW()-25&lt;=COUNTA(Tbl_Companies[Company ID]),IFERROR(Companies!C19,""),"")</f>
        <v/>
      </c>
      <c r="C41" s="18">
        <f>IF(ROW()-25&lt;=COUNTA(Tbl_Companies[Company ID]),IFERROR(Companies!M19,""),"")</f>
        <v/>
      </c>
      <c r="D41" s="18">
        <f>IF(ROW()-25&lt;=COUNTA(Tbl_Companies[Company ID]),IFERROR(Companies!O19,""),"")</f>
        <v/>
      </c>
      <c r="E41" s="18">
        <f>IF(ROW()-25&lt;=COUNTA(Tbl_Companies[Company ID]),IFERROR(Companies!P19,""),"")</f>
        <v/>
      </c>
      <c r="F41" s="18">
        <f>IF(ROW()-25&lt;=COUNTA(Tbl_Companies[Company ID]),IFERROR(Companies!Q19,""),"")</f>
        <v/>
      </c>
      <c r="G41" s="18">
        <f>IF(ROW()-25&lt;=COUNTA(Tbl_Companies[Company ID]),IFERROR(Companies!S19,""),"")</f>
        <v/>
      </c>
      <c r="H41" s="19">
        <f>IF(ROW()-25&lt;=COUNTA(Tbl_Companies[Company ID]),IFERROR(Companies!U19,""),"")</f>
        <v/>
      </c>
    </row>
    <row r="42">
      <c r="B42" s="18">
        <f>IF(ROW()-25&lt;=COUNTA(Tbl_Companies[Company ID]),IFERROR(Companies!C20,""),"")</f>
        <v/>
      </c>
      <c r="C42" s="18">
        <f>IF(ROW()-25&lt;=COUNTA(Tbl_Companies[Company ID]),IFERROR(Companies!M20,""),"")</f>
        <v/>
      </c>
      <c r="D42" s="18">
        <f>IF(ROW()-25&lt;=COUNTA(Tbl_Companies[Company ID]),IFERROR(Companies!O20,""),"")</f>
        <v/>
      </c>
      <c r="E42" s="18">
        <f>IF(ROW()-25&lt;=COUNTA(Tbl_Companies[Company ID]),IFERROR(Companies!P20,""),"")</f>
        <v/>
      </c>
      <c r="F42" s="18">
        <f>IF(ROW()-25&lt;=COUNTA(Tbl_Companies[Company ID]),IFERROR(Companies!Q20,""),"")</f>
        <v/>
      </c>
      <c r="G42" s="18">
        <f>IF(ROW()-25&lt;=COUNTA(Tbl_Companies[Company ID]),IFERROR(Companies!S20,""),"")</f>
        <v/>
      </c>
      <c r="H42" s="19">
        <f>IF(ROW()-25&lt;=COUNTA(Tbl_Companies[Company ID]),IFERROR(Companies!U20,""),"")</f>
        <v/>
      </c>
    </row>
    <row r="43">
      <c r="B43" s="18">
        <f>IF(ROW()-25&lt;=COUNTA(Tbl_Companies[Company ID]),IFERROR(Companies!C21,""),"")</f>
        <v/>
      </c>
      <c r="C43" s="18">
        <f>IF(ROW()-25&lt;=COUNTA(Tbl_Companies[Company ID]),IFERROR(Companies!M21,""),"")</f>
        <v/>
      </c>
      <c r="D43" s="18">
        <f>IF(ROW()-25&lt;=COUNTA(Tbl_Companies[Company ID]),IFERROR(Companies!O21,""),"")</f>
        <v/>
      </c>
      <c r="E43" s="18">
        <f>IF(ROW()-25&lt;=COUNTA(Tbl_Companies[Company ID]),IFERROR(Companies!P21,""),"")</f>
        <v/>
      </c>
      <c r="F43" s="18">
        <f>IF(ROW()-25&lt;=COUNTA(Tbl_Companies[Company ID]),IFERROR(Companies!Q21,""),"")</f>
        <v/>
      </c>
      <c r="G43" s="18">
        <f>IF(ROW()-25&lt;=COUNTA(Tbl_Companies[Company ID]),IFERROR(Companies!S21,""),"")</f>
        <v/>
      </c>
      <c r="H43" s="19">
        <f>IF(ROW()-25&lt;=COUNTA(Tbl_Companies[Company ID]),IFERROR(Companies!U21,""),"")</f>
        <v/>
      </c>
    </row>
    <row r="44">
      <c r="B44" s="18">
        <f>IF(ROW()-25&lt;=COUNTA(Tbl_Companies[Company ID]),IFERROR(Companies!C22,""),"")</f>
        <v/>
      </c>
      <c r="C44" s="18">
        <f>IF(ROW()-25&lt;=COUNTA(Tbl_Companies[Company ID]),IFERROR(Companies!M22,""),"")</f>
        <v/>
      </c>
      <c r="D44" s="18">
        <f>IF(ROW()-25&lt;=COUNTA(Tbl_Companies[Company ID]),IFERROR(Companies!O22,""),"")</f>
        <v/>
      </c>
      <c r="E44" s="18">
        <f>IF(ROW()-25&lt;=COUNTA(Tbl_Companies[Company ID]),IFERROR(Companies!P22,""),"")</f>
        <v/>
      </c>
      <c r="F44" s="18">
        <f>IF(ROW()-25&lt;=COUNTA(Tbl_Companies[Company ID]),IFERROR(Companies!Q22,""),"")</f>
        <v/>
      </c>
      <c r="G44" s="18">
        <f>IF(ROW()-25&lt;=COUNTA(Tbl_Companies[Company ID]),IFERROR(Companies!S22,""),"")</f>
        <v/>
      </c>
      <c r="H44" s="19">
        <f>IF(ROW()-25&lt;=COUNTA(Tbl_Companies[Company ID]),IFERROR(Companies!U22,""),"")</f>
        <v/>
      </c>
    </row>
    <row r="45">
      <c r="B45" s="18">
        <f>IF(ROW()-25&lt;=COUNTA(Tbl_Companies[Company ID]),IFERROR(Companies!C23,""),"")</f>
        <v/>
      </c>
      <c r="C45" s="18">
        <f>IF(ROW()-25&lt;=COUNTA(Tbl_Companies[Company ID]),IFERROR(Companies!M23,""),"")</f>
        <v/>
      </c>
      <c r="D45" s="18">
        <f>IF(ROW()-25&lt;=COUNTA(Tbl_Companies[Company ID]),IFERROR(Companies!O23,""),"")</f>
        <v/>
      </c>
      <c r="E45" s="18">
        <f>IF(ROW()-25&lt;=COUNTA(Tbl_Companies[Company ID]),IFERROR(Companies!P23,""),"")</f>
        <v/>
      </c>
      <c r="F45" s="18">
        <f>IF(ROW()-25&lt;=COUNTA(Tbl_Companies[Company ID]),IFERROR(Companies!Q23,""),"")</f>
        <v/>
      </c>
      <c r="G45" s="18">
        <f>IF(ROW()-25&lt;=COUNTA(Tbl_Companies[Company ID]),IFERROR(Companies!S23,""),"")</f>
        <v/>
      </c>
      <c r="H45" s="19">
        <f>IF(ROW()-25&lt;=COUNTA(Tbl_Companies[Company ID]),IFERROR(Companies!U23,""),"")</f>
        <v/>
      </c>
    </row>
    <row r="46">
      <c r="B46" s="18">
        <f>IF(ROW()-25&lt;=COUNTA(Tbl_Companies[Company ID]),IFERROR(Companies!C24,""),"")</f>
        <v/>
      </c>
      <c r="C46" s="18">
        <f>IF(ROW()-25&lt;=COUNTA(Tbl_Companies[Company ID]),IFERROR(Companies!M24,""),"")</f>
        <v/>
      </c>
      <c r="D46" s="18">
        <f>IF(ROW()-25&lt;=COUNTA(Tbl_Companies[Company ID]),IFERROR(Companies!O24,""),"")</f>
        <v/>
      </c>
      <c r="E46" s="18">
        <f>IF(ROW()-25&lt;=COUNTA(Tbl_Companies[Company ID]),IFERROR(Companies!P24,""),"")</f>
        <v/>
      </c>
      <c r="F46" s="18">
        <f>IF(ROW()-25&lt;=COUNTA(Tbl_Companies[Company ID]),IFERROR(Companies!Q24,""),"")</f>
        <v/>
      </c>
      <c r="G46" s="18">
        <f>IF(ROW()-25&lt;=COUNTA(Tbl_Companies[Company ID]),IFERROR(Companies!S24,""),"")</f>
        <v/>
      </c>
      <c r="H46" s="19">
        <f>IF(ROW()-25&lt;=COUNTA(Tbl_Companies[Company ID]),IFERROR(Companies!U24,""),"")</f>
        <v/>
      </c>
    </row>
    <row r="47">
      <c r="B47" s="18">
        <f>IF(ROW()-25&lt;=COUNTA(Tbl_Companies[Company ID]),IFERROR(Companies!C25,""),"")</f>
        <v/>
      </c>
      <c r="C47" s="18">
        <f>IF(ROW()-25&lt;=COUNTA(Tbl_Companies[Company ID]),IFERROR(Companies!M25,""),"")</f>
        <v/>
      </c>
      <c r="D47" s="18">
        <f>IF(ROW()-25&lt;=COUNTA(Tbl_Companies[Company ID]),IFERROR(Companies!O25,""),"")</f>
        <v/>
      </c>
      <c r="E47" s="18">
        <f>IF(ROW()-25&lt;=COUNTA(Tbl_Companies[Company ID]),IFERROR(Companies!P25,""),"")</f>
        <v/>
      </c>
      <c r="F47" s="18">
        <f>IF(ROW()-25&lt;=COUNTA(Tbl_Companies[Company ID]),IFERROR(Companies!Q25,""),"")</f>
        <v/>
      </c>
      <c r="G47" s="18">
        <f>IF(ROW()-25&lt;=COUNTA(Tbl_Companies[Company ID]),IFERROR(Companies!S25,""),"")</f>
        <v/>
      </c>
      <c r="H47" s="19">
        <f>IF(ROW()-25&lt;=COUNTA(Tbl_Companies[Company ID]),IFERROR(Companies!U25,""),"")</f>
        <v/>
      </c>
    </row>
    <row r="48">
      <c r="B48" s="18">
        <f>IF(ROW()-25&lt;=COUNTA(Tbl_Companies[Company ID]),IFERROR(Companies!C26,""),"")</f>
        <v/>
      </c>
      <c r="C48" s="18">
        <f>IF(ROW()-25&lt;=COUNTA(Tbl_Companies[Company ID]),IFERROR(Companies!M26,""),"")</f>
        <v/>
      </c>
      <c r="D48" s="18">
        <f>IF(ROW()-25&lt;=COUNTA(Tbl_Companies[Company ID]),IFERROR(Companies!O26,""),"")</f>
        <v/>
      </c>
      <c r="E48" s="18">
        <f>IF(ROW()-25&lt;=COUNTA(Tbl_Companies[Company ID]),IFERROR(Companies!P26,""),"")</f>
        <v/>
      </c>
      <c r="F48" s="18">
        <f>IF(ROW()-25&lt;=COUNTA(Tbl_Companies[Company ID]),IFERROR(Companies!Q26,""),"")</f>
        <v/>
      </c>
      <c r="G48" s="18">
        <f>IF(ROW()-25&lt;=COUNTA(Tbl_Companies[Company ID]),IFERROR(Companies!S26,""),"")</f>
        <v/>
      </c>
      <c r="H48" s="19">
        <f>IF(ROW()-25&lt;=COUNTA(Tbl_Companies[Company ID]),IFERROR(Companies!U26,""),"")</f>
        <v/>
      </c>
    </row>
    <row r="49">
      <c r="B49" s="18">
        <f>IF(ROW()-25&lt;=COUNTA(Tbl_Companies[Company ID]),IFERROR(Companies!C27,""),"")</f>
        <v/>
      </c>
      <c r="C49" s="18">
        <f>IF(ROW()-25&lt;=COUNTA(Tbl_Companies[Company ID]),IFERROR(Companies!M27,""),"")</f>
        <v/>
      </c>
      <c r="D49" s="18">
        <f>IF(ROW()-25&lt;=COUNTA(Tbl_Companies[Company ID]),IFERROR(Companies!O27,""),"")</f>
        <v/>
      </c>
      <c r="E49" s="18">
        <f>IF(ROW()-25&lt;=COUNTA(Tbl_Companies[Company ID]),IFERROR(Companies!P27,""),"")</f>
        <v/>
      </c>
      <c r="F49" s="18">
        <f>IF(ROW()-25&lt;=COUNTA(Tbl_Companies[Company ID]),IFERROR(Companies!Q27,""),"")</f>
        <v/>
      </c>
      <c r="G49" s="18">
        <f>IF(ROW()-25&lt;=COUNTA(Tbl_Companies[Company ID]),IFERROR(Companies!S27,""),"")</f>
        <v/>
      </c>
      <c r="H49" s="19">
        <f>IF(ROW()-25&lt;=COUNTA(Tbl_Companies[Company ID]),IFERROR(Companies!U27,""),"")</f>
        <v/>
      </c>
    </row>
    <row r="50">
      <c r="B50" s="18">
        <f>IF(ROW()-25&lt;=COUNTA(Tbl_Companies[Company ID]),IFERROR(Companies!C28,""),"")</f>
        <v/>
      </c>
      <c r="C50" s="18">
        <f>IF(ROW()-25&lt;=COUNTA(Tbl_Companies[Company ID]),IFERROR(Companies!M28,""),"")</f>
        <v/>
      </c>
      <c r="D50" s="18">
        <f>IF(ROW()-25&lt;=COUNTA(Tbl_Companies[Company ID]),IFERROR(Companies!O28,""),"")</f>
        <v/>
      </c>
      <c r="E50" s="18">
        <f>IF(ROW()-25&lt;=COUNTA(Tbl_Companies[Company ID]),IFERROR(Companies!P28,""),"")</f>
        <v/>
      </c>
      <c r="F50" s="18">
        <f>IF(ROW()-25&lt;=COUNTA(Tbl_Companies[Company ID]),IFERROR(Companies!Q28,""),"")</f>
        <v/>
      </c>
      <c r="G50" s="18">
        <f>IF(ROW()-25&lt;=COUNTA(Tbl_Companies[Company ID]),IFERROR(Companies!S28,""),"")</f>
        <v/>
      </c>
      <c r="H50" s="19">
        <f>IF(ROW()-25&lt;=COUNTA(Tbl_Companies[Company ID]),IFERROR(Companies!U28,""),"")</f>
        <v/>
      </c>
    </row>
  </sheetData>
  <mergeCells count="26">
    <mergeCell ref="B11:D11"/>
    <mergeCell ref="E16:G17"/>
    <mergeCell ref="B20:D21"/>
    <mergeCell ref="E19:G19"/>
    <mergeCell ref="E12:G13"/>
    <mergeCell ref="E15:G15"/>
    <mergeCell ref="H11:J11"/>
    <mergeCell ref="E8:F8"/>
    <mergeCell ref="H20:J21"/>
    <mergeCell ref="Q8:R8"/>
    <mergeCell ref="B16:D17"/>
    <mergeCell ref="B19:D19"/>
    <mergeCell ref="E11:G11"/>
    <mergeCell ref="H19:J19"/>
    <mergeCell ref="B2:O4"/>
    <mergeCell ref="B12:D13"/>
    <mergeCell ref="B15:D15"/>
    <mergeCell ref="B8:C8"/>
    <mergeCell ref="N8:O8"/>
    <mergeCell ref="H15:J15"/>
    <mergeCell ref="E20:G21"/>
    <mergeCell ref="K8:L8"/>
    <mergeCell ref="B5:O5"/>
    <mergeCell ref="H16:J17"/>
    <mergeCell ref="H8:I8"/>
    <mergeCell ref="H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B7280"/>
    <outlinePr summaryBelow="1" summaryRight="1"/>
    <pageSetUpPr/>
  </sheetPr>
  <dimension ref="B1:T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7" customWidth="1" min="4" max="4"/>
    <col width="16" customWidth="1" min="6" max="6"/>
    <col width="16" customWidth="1" min="8" max="8"/>
    <col width="16" customWidth="1" min="10" max="10"/>
    <col width="16" customWidth="1" min="12" max="12"/>
    <col width="16" customWidth="1" min="14" max="14"/>
    <col width="17" customWidth="1" min="16" max="16"/>
    <col width="16" customWidth="1" min="18" max="18"/>
    <col width="17" customWidth="1" min="20" max="20"/>
  </cols>
  <sheetData>
    <row r="1" ht="24" customHeight="1">
      <c r="B1" s="20" t="inlineStr">
        <is>
          <t>⚙️  System Lookups — Master Reference Lists</t>
        </is>
      </c>
    </row>
    <row r="2">
      <c r="B2" s="3" t="inlineStr">
        <is>
          <t>Add a value below to make it available in every dropdown that uses this list. Do not delete the header row.</t>
        </is>
      </c>
    </row>
    <row r="3">
      <c r="B3" s="21" t="inlineStr">
        <is>
          <t>Departments</t>
        </is>
      </c>
      <c r="D3" s="21" t="inlineStr">
        <is>
          <t>Priority Levels</t>
        </is>
      </c>
      <c r="F3" s="21" t="inlineStr">
        <is>
          <t>Statuses</t>
        </is>
      </c>
      <c r="H3" s="21" t="inlineStr">
        <is>
          <t>Company Status</t>
        </is>
      </c>
      <c r="J3" s="21" t="inlineStr">
        <is>
          <t>Company Stage</t>
        </is>
      </c>
      <c r="L3" s="21" t="inlineStr">
        <is>
          <t>Task Types</t>
        </is>
      </c>
      <c r="N3" s="21" t="inlineStr">
        <is>
          <t>Currencies</t>
        </is>
      </c>
      <c r="P3" s="21" t="inlineStr">
        <is>
          <t>Time Categories</t>
        </is>
      </c>
      <c r="R3" s="21" t="inlineStr">
        <is>
          <t>Billable</t>
        </is>
      </c>
      <c r="T3" s="21" t="inlineStr">
        <is>
          <t>Employee Status</t>
        </is>
      </c>
    </row>
    <row r="4">
      <c r="B4" s="18" t="inlineStr">
        <is>
          <t>Engineering</t>
        </is>
      </c>
      <c r="D4" s="18" t="inlineStr">
        <is>
          <t>Critical</t>
        </is>
      </c>
      <c r="F4" s="18" t="inlineStr">
        <is>
          <t>Not Started</t>
        </is>
      </c>
      <c r="H4" s="18" t="inlineStr">
        <is>
          <t>Active</t>
        </is>
      </c>
      <c r="J4" s="18" t="inlineStr">
        <is>
          <t>Idea</t>
        </is>
      </c>
      <c r="L4" s="18" t="inlineStr">
        <is>
          <t>Feature</t>
        </is>
      </c>
      <c r="N4" s="18" t="inlineStr">
        <is>
          <t>USD</t>
        </is>
      </c>
      <c r="P4" s="18" t="inlineStr">
        <is>
          <t>Deep Work</t>
        </is>
      </c>
      <c r="R4" s="18" t="inlineStr">
        <is>
          <t>Yes</t>
        </is>
      </c>
      <c r="T4" s="18" t="inlineStr">
        <is>
          <t>Active</t>
        </is>
      </c>
    </row>
    <row r="5">
      <c r="B5" s="18" t="inlineStr">
        <is>
          <t>Product</t>
        </is>
      </c>
      <c r="D5" s="18" t="inlineStr">
        <is>
          <t>High</t>
        </is>
      </c>
      <c r="F5" s="18" t="inlineStr">
        <is>
          <t>In Progress</t>
        </is>
      </c>
      <c r="H5" s="18" t="inlineStr">
        <is>
          <t>Paused</t>
        </is>
      </c>
      <c r="J5" s="18" t="inlineStr">
        <is>
          <t>Pre-Launch</t>
        </is>
      </c>
      <c r="L5" s="18" t="inlineStr">
        <is>
          <t>Bug</t>
        </is>
      </c>
      <c r="N5" s="18" t="inlineStr">
        <is>
          <t>GBP</t>
        </is>
      </c>
      <c r="P5" s="18" t="inlineStr">
        <is>
          <t>Shallow Work</t>
        </is>
      </c>
      <c r="R5" s="18" t="inlineStr">
        <is>
          <t>No</t>
        </is>
      </c>
      <c r="T5" s="18" t="inlineStr">
        <is>
          <t>Inactive</t>
        </is>
      </c>
    </row>
    <row r="6">
      <c r="B6" s="18" t="inlineStr">
        <is>
          <t>Design</t>
        </is>
      </c>
      <c r="D6" s="18" t="inlineStr">
        <is>
          <t>Medium</t>
        </is>
      </c>
      <c r="F6" s="18" t="inlineStr">
        <is>
          <t>Blocked</t>
        </is>
      </c>
      <c r="H6" s="18" t="inlineStr">
        <is>
          <t>Archived</t>
        </is>
      </c>
      <c r="J6" s="18" t="inlineStr">
        <is>
          <t>Launched</t>
        </is>
      </c>
      <c r="L6" s="18" t="inlineStr">
        <is>
          <t>Research</t>
        </is>
      </c>
      <c r="N6" s="18" t="inlineStr">
        <is>
          <t>EUR</t>
        </is>
      </c>
      <c r="P6" s="18" t="inlineStr">
        <is>
          <t>Meeting</t>
        </is>
      </c>
      <c r="T6" s="18" t="inlineStr">
        <is>
          <t>On Leave</t>
        </is>
      </c>
    </row>
    <row r="7">
      <c r="B7" s="18" t="inlineStr">
        <is>
          <t>Marketing</t>
        </is>
      </c>
      <c r="D7" s="18" t="inlineStr">
        <is>
          <t>Low</t>
        </is>
      </c>
      <c r="F7" s="18" t="inlineStr">
        <is>
          <t>In Review</t>
        </is>
      </c>
      <c r="H7" s="18" t="inlineStr">
        <is>
          <t>Exploring</t>
        </is>
      </c>
      <c r="J7" s="18" t="inlineStr">
        <is>
          <t>Growth</t>
        </is>
      </c>
      <c r="L7" s="18" t="inlineStr">
        <is>
          <t>Admin</t>
        </is>
      </c>
      <c r="N7" s="18" t="inlineStr">
        <is>
          <t>PKR</t>
        </is>
      </c>
      <c r="P7" s="18" t="inlineStr">
        <is>
          <t>Admin</t>
        </is>
      </c>
    </row>
    <row r="8">
      <c r="B8" s="18" t="inlineStr">
        <is>
          <t>Sales</t>
        </is>
      </c>
      <c r="F8" s="18" t="inlineStr">
        <is>
          <t>Completed</t>
        </is>
      </c>
      <c r="J8" s="18" t="inlineStr">
        <is>
          <t>Scaling</t>
        </is>
      </c>
      <c r="L8" s="18" t="inlineStr">
        <is>
          <t>Meeting</t>
        </is>
      </c>
      <c r="N8" s="18" t="inlineStr">
        <is>
          <t>AED</t>
        </is>
      </c>
      <c r="P8" s="18" t="inlineStr">
        <is>
          <t>Learning</t>
        </is>
      </c>
    </row>
    <row r="9">
      <c r="B9" s="18" t="inlineStr">
        <is>
          <t>Finance</t>
        </is>
      </c>
      <c r="F9" s="18" t="inlineStr">
        <is>
          <t>Cancelled</t>
        </is>
      </c>
      <c r="J9" s="18" t="inlineStr">
        <is>
          <t>Mature</t>
        </is>
      </c>
      <c r="L9" s="18" t="inlineStr">
        <is>
          <t>Content</t>
        </is>
      </c>
      <c r="N9" s="18" t="inlineStr">
        <is>
          <t>INR</t>
        </is>
      </c>
    </row>
    <row r="10">
      <c r="B10" s="18" t="inlineStr">
        <is>
          <t>Operations</t>
        </is>
      </c>
      <c r="F10" s="18" t="inlineStr">
        <is>
          <t>On Hold</t>
        </is>
      </c>
      <c r="L10" s="18" t="inlineStr">
        <is>
          <t>Design</t>
        </is>
      </c>
      <c r="N10" s="18" t="inlineStr">
        <is>
          <t>CAD</t>
        </is>
      </c>
    </row>
    <row r="11">
      <c r="B11" s="18" t="inlineStr">
        <is>
          <t>Customer Success</t>
        </is>
      </c>
      <c r="L11" s="18" t="inlineStr">
        <is>
          <t>Ops</t>
        </is>
      </c>
      <c r="N11" s="18" t="inlineStr">
        <is>
          <t>AUD</t>
        </is>
      </c>
    </row>
    <row r="12">
      <c r="B12" s="18" t="inlineStr">
        <is>
          <t>Legal</t>
        </is>
      </c>
    </row>
    <row r="13">
      <c r="B13" s="18" t="inlineStr">
        <is>
          <t>HR</t>
        </is>
      </c>
    </row>
  </sheetData>
  <pageMargins left="0.75" right="0.75" top="1" bottom="1" header="0.5" footer="0.5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B1:V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24" customWidth="1" min="4" max="4"/>
    <col width="18" customWidth="1" min="5" max="5"/>
    <col width="14" customWidth="1" min="6" max="6"/>
    <col width="26" customWidth="1" min="7" max="7"/>
    <col width="24" customWidth="1" min="8" max="8"/>
    <col width="16" customWidth="1" min="9" max="9"/>
    <col width="12" customWidth="1" min="10" max="10"/>
    <col width="10" customWidth="1" min="11" max="11"/>
    <col width="18" customWidth="1" min="12" max="12"/>
    <col width="12" customWidth="1" min="13" max="13"/>
    <col width="13" customWidth="1" min="14" max="14"/>
    <col width="14" customWidth="1" min="15" max="15"/>
    <col width="11" customWidth="1" min="16" max="16"/>
    <col width="13" customWidth="1" min="17" max="17"/>
    <col width="13" customWidth="1" min="18" max="18"/>
    <col width="11" customWidth="1" min="19" max="19"/>
    <col width="14" customWidth="1" min="20" max="20"/>
    <col width="12" customWidth="1" min="21" max="21"/>
    <col width="30" customWidth="1" min="22" max="22"/>
  </cols>
  <sheetData>
    <row r="1" ht="24" customHeight="1">
      <c r="B1" s="20" t="inlineStr">
        <is>
          <t>🏢  Companies — Master Registry</t>
        </is>
      </c>
    </row>
    <row r="2">
      <c r="B2" s="3" t="inlineStr">
        <is>
          <t>One row per company. KPI columns (right side) are calculated automatically from Projects, Tasks, and Time Log.</t>
        </is>
      </c>
    </row>
    <row r="3" ht="32" customHeight="1">
      <c r="B3" s="22" t="inlineStr">
        <is>
          <t>Company ID</t>
        </is>
      </c>
      <c r="C3" s="22" t="inlineStr">
        <is>
          <t>Company Name</t>
        </is>
      </c>
      <c r="D3" s="22" t="inlineStr">
        <is>
          <t>Legal Name</t>
        </is>
      </c>
      <c r="E3" s="22" t="inlineStr">
        <is>
          <t>Industry</t>
        </is>
      </c>
      <c r="F3" s="22" t="inlineStr">
        <is>
          <t>Business Type</t>
        </is>
      </c>
      <c r="G3" s="22" t="inlineStr">
        <is>
          <t>Website</t>
        </is>
      </c>
      <c r="H3" s="22" t="inlineStr">
        <is>
          <t>Email</t>
        </is>
      </c>
      <c r="I3" s="22" t="inlineStr">
        <is>
          <t>Phone</t>
        </is>
      </c>
      <c r="J3" s="22" t="inlineStr">
        <is>
          <t>Country</t>
        </is>
      </c>
      <c r="K3" s="22" t="inlineStr">
        <is>
          <t>Currency</t>
        </is>
      </c>
      <c r="L3" s="22" t="inlineStr">
        <is>
          <t>Founder</t>
        </is>
      </c>
      <c r="M3" s="22" t="inlineStr">
        <is>
          <t>Status</t>
        </is>
      </c>
      <c r="N3" s="22" t="inlineStr">
        <is>
          <t>Date Started</t>
        </is>
      </c>
      <c r="O3" s="22" t="inlineStr">
        <is>
          <t>Stage</t>
        </is>
      </c>
      <c r="P3" s="22" t="inlineStr">
        <is>
          <t>Employees</t>
        </is>
      </c>
      <c r="Q3" s="22" t="inlineStr">
        <is>
          <t>Total Projects</t>
        </is>
      </c>
      <c r="R3" s="22" t="inlineStr">
        <is>
          <t>Active Projects</t>
        </is>
      </c>
      <c r="S3" s="22" t="inlineStr">
        <is>
          <t>Open Tasks</t>
        </is>
      </c>
      <c r="T3" s="22" t="inlineStr">
        <is>
          <t>Completed Tasks</t>
        </is>
      </c>
      <c r="U3" s="22" t="inlineStr">
        <is>
          <t>Hours Logged</t>
        </is>
      </c>
      <c r="V3" s="22" t="inlineStr">
        <is>
          <t>Notes</t>
        </is>
      </c>
    </row>
    <row r="4">
      <c r="B4" s="18">
        <f>"COMP-"&amp;TEXT(SUBTOTAL(103,$C$4:C4),"0000")</f>
        <v/>
      </c>
      <c r="C4" s="18" t="inlineStr">
        <is>
          <t>Nimbus Analytics</t>
        </is>
      </c>
      <c r="D4" s="18" t="inlineStr">
        <is>
          <t>Nimbus Analytics Inc.</t>
        </is>
      </c>
      <c r="E4" s="18" t="inlineStr">
        <is>
          <t>SaaS / Data</t>
        </is>
      </c>
      <c r="F4" s="18" t="inlineStr">
        <is>
          <t>B2B</t>
        </is>
      </c>
      <c r="G4" s="18" t="inlineStr">
        <is>
          <t>https://nimbusanalytics.io</t>
        </is>
      </c>
      <c r="H4" s="18" t="inlineStr">
        <is>
          <t>hello@nimbusanalytics.io</t>
        </is>
      </c>
      <c r="I4" s="18" t="inlineStr">
        <is>
          <t>+1 415 555 0134</t>
        </is>
      </c>
      <c r="J4" s="18" t="inlineStr">
        <is>
          <t>USA</t>
        </is>
      </c>
      <c r="K4" s="18" t="inlineStr">
        <is>
          <t>USD</t>
        </is>
      </c>
      <c r="L4" s="18" t="inlineStr">
        <is>
          <t>Humayra Shajahan</t>
        </is>
      </c>
      <c r="M4" s="18" t="inlineStr">
        <is>
          <t>Active</t>
        </is>
      </c>
      <c r="N4" s="23" t="n">
        <v>44936</v>
      </c>
      <c r="O4" s="18" t="inlineStr">
        <is>
          <t>Growth</t>
        </is>
      </c>
      <c r="P4" s="18">
        <f>COUNTIFS(Tbl_Employees[Primary Company],C4)</f>
        <v/>
      </c>
      <c r="Q4" s="18">
        <f>COUNTIFS(Tbl_Projects[Company],C4)</f>
        <v/>
      </c>
      <c r="R4" s="18">
        <f>COUNTIFS(Tbl_Projects[Company],C4,Tbl_Projects[Status],"&lt;&gt;Completed",Tbl_Projects[Status],"&lt;&gt;Cancelled")</f>
        <v/>
      </c>
      <c r="S4" s="18">
        <f>COUNTIFS(Tbl_Tasks[Company],C4,Tbl_Tasks[Status],"&lt;&gt;Completed",Tbl_Tasks[Status],"&lt;&gt;Cancelled")</f>
        <v/>
      </c>
      <c r="T4" s="18">
        <f>COUNTIFS(Tbl_Tasks[Company],C4,Tbl_Tasks[Status],"Completed")</f>
        <v/>
      </c>
      <c r="U4" s="19">
        <f>ROUND(SUMIFS(Tbl_TimeLog[Total Hours],Tbl_TimeLog[Company],C4),1)</f>
        <v/>
      </c>
      <c r="V4" s="18" t="inlineStr">
        <is>
          <t>Core analytics platform, main focus company.</t>
        </is>
      </c>
    </row>
    <row r="5">
      <c r="B5" s="18">
        <f>"COMP-"&amp;TEXT(SUBTOTAL(103,$C$4:C5),"0000")</f>
        <v/>
      </c>
      <c r="C5" s="18" t="inlineStr">
        <is>
          <t>Kiln &amp; Co</t>
        </is>
      </c>
      <c r="D5" s="18" t="inlineStr">
        <is>
          <t>Kiln &amp; Co Ltd.</t>
        </is>
      </c>
      <c r="E5" s="18" t="inlineStr">
        <is>
          <t>D2C / Home Goods</t>
        </is>
      </c>
      <c r="F5" s="18" t="inlineStr">
        <is>
          <t>B2C</t>
        </is>
      </c>
      <c r="G5" s="18" t="inlineStr">
        <is>
          <t>https://kilnandco.com</t>
        </is>
      </c>
      <c r="H5" s="18" t="inlineStr">
        <is>
          <t>team@kilnandco.com</t>
        </is>
      </c>
      <c r="I5" s="18" t="inlineStr">
        <is>
          <t>+44 20 7946 0958</t>
        </is>
      </c>
      <c r="J5" s="18" t="inlineStr">
        <is>
          <t>UK</t>
        </is>
      </c>
      <c r="K5" s="18" t="inlineStr">
        <is>
          <t>GBP</t>
        </is>
      </c>
      <c r="L5" s="18" t="inlineStr">
        <is>
          <t>Humayra Shajahan</t>
        </is>
      </c>
      <c r="M5" s="18" t="inlineStr">
        <is>
          <t>Active</t>
        </is>
      </c>
      <c r="N5" s="23" t="n">
        <v>45296</v>
      </c>
      <c r="O5" s="18" t="inlineStr">
        <is>
          <t>Launched</t>
        </is>
      </c>
      <c r="P5" s="18">
        <f>COUNTIFS(Tbl_Employees[Primary Company],C5)</f>
        <v/>
      </c>
      <c r="Q5" s="18">
        <f>COUNTIFS(Tbl_Projects[Company],C5)</f>
        <v/>
      </c>
      <c r="R5" s="18">
        <f>COUNTIFS(Tbl_Projects[Company],C5,Tbl_Projects[Status],"&lt;&gt;Completed",Tbl_Projects[Status],"&lt;&gt;Cancelled")</f>
        <v/>
      </c>
      <c r="S5" s="18">
        <f>COUNTIFS(Tbl_Tasks[Company],C5,Tbl_Tasks[Status],"&lt;&gt;Completed",Tbl_Tasks[Status],"&lt;&gt;Cancelled")</f>
        <v/>
      </c>
      <c r="T5" s="18">
        <f>COUNTIFS(Tbl_Tasks[Company],C5,Tbl_Tasks[Status],"Completed")</f>
        <v/>
      </c>
      <c r="U5" s="19">
        <f>ROUND(SUMIFS(Tbl_TimeLog[Total Hours],Tbl_TimeLog[Company],C5),1)</f>
        <v/>
      </c>
      <c r="V5" s="18" t="inlineStr">
        <is>
          <t>Ceramics &amp; homeware brand, seasonal demand.</t>
        </is>
      </c>
    </row>
    <row r="6">
      <c r="B6" s="18">
        <f>"COMP-"&amp;TEXT(SUBTOTAL(103,$C$4:C6),"0000")</f>
        <v/>
      </c>
      <c r="C6" s="18" t="inlineStr">
        <is>
          <t>Pathlight Tutors</t>
        </is>
      </c>
      <c r="D6" s="18" t="inlineStr">
        <is>
          <t>Pathlight Education LLC</t>
        </is>
      </c>
      <c r="E6" s="18" t="inlineStr">
        <is>
          <t>EdTech</t>
        </is>
      </c>
      <c r="F6" s="18" t="inlineStr">
        <is>
          <t>B2C</t>
        </is>
      </c>
      <c r="G6" s="18" t="inlineStr">
        <is>
          <t>https://pathlighttutors.com</t>
        </is>
      </c>
      <c r="H6" s="18" t="inlineStr">
        <is>
          <t>support@pathlighttutors.com</t>
        </is>
      </c>
      <c r="I6" s="18" t="inlineStr">
        <is>
          <t>+1 646 555 0192</t>
        </is>
      </c>
      <c r="J6" s="18" t="inlineStr">
        <is>
          <t>USA</t>
        </is>
      </c>
      <c r="K6" s="18" t="inlineStr">
        <is>
          <t>USD</t>
        </is>
      </c>
      <c r="L6" s="18" t="inlineStr">
        <is>
          <t>Humayra Shajahan</t>
        </is>
      </c>
      <c r="M6" s="18" t="inlineStr">
        <is>
          <t>Exploring</t>
        </is>
      </c>
      <c r="N6" s="23" t="n">
        <v>45505</v>
      </c>
      <c r="O6" s="18" t="inlineStr">
        <is>
          <t>Pre-Launch</t>
        </is>
      </c>
      <c r="P6" s="18">
        <f>COUNTIFS(Tbl_Employees[Primary Company],C6)</f>
        <v/>
      </c>
      <c r="Q6" s="18">
        <f>COUNTIFS(Tbl_Projects[Company],C6)</f>
        <v/>
      </c>
      <c r="R6" s="18">
        <f>COUNTIFS(Tbl_Projects[Company],C6,Tbl_Projects[Status],"&lt;&gt;Completed",Tbl_Projects[Status],"&lt;&gt;Cancelled")</f>
        <v/>
      </c>
      <c r="S6" s="18">
        <f>COUNTIFS(Tbl_Tasks[Company],C6,Tbl_Tasks[Status],"&lt;&gt;Completed",Tbl_Tasks[Status],"&lt;&gt;Cancelled")</f>
        <v/>
      </c>
      <c r="T6" s="18">
        <f>COUNTIFS(Tbl_Tasks[Company],C6,Tbl_Tasks[Status],"Completed")</f>
        <v/>
      </c>
      <c r="U6" s="19">
        <f>ROUND(SUMIFS(Tbl_TimeLog[Total Hours],Tbl_TimeLog[Company],C6),1)</f>
        <v/>
      </c>
      <c r="V6" s="18" t="inlineStr">
        <is>
          <t>Early-stage tutoring marketplace, validating demand.</t>
        </is>
      </c>
    </row>
  </sheetData>
  <conditionalFormatting sqref="M4:M500">
    <cfRule type="expression" priority="1" dxfId="0">
      <formula>EXACT(M4,"Active")</formula>
    </cfRule>
    <cfRule type="expression" priority="2" dxfId="1">
      <formula>EXACT(M4,"Paused")</formula>
    </cfRule>
    <cfRule type="expression" priority="3" dxfId="2">
      <formula>EXACT(M4,"Archived")</formula>
    </cfRule>
    <cfRule type="expression" priority="4" dxfId="3">
      <formula>EXACT(M4,"Exploring")</formula>
    </cfRule>
  </conditionalFormatting>
  <dataValidations count="3">
    <dataValidation sqref="K4:K500" showDropDown="0" showInputMessage="0" showErrorMessage="0" allowBlank="1" errorTitle="Invalid entry" error="Please choose a value from the dropdown list." type="list">
      <formula1>=List_Currencies</formula1>
    </dataValidation>
    <dataValidation sqref="M4:M500" showDropDown="0" showInputMessage="0" showErrorMessage="0" allowBlank="1" errorTitle="Invalid entry" error="Please choose a value from the dropdown list." type="list">
      <formula1>=List_CompanyStatus</formula1>
    </dataValidation>
    <dataValidation sqref="O4:O500" showDropDown="0" showInputMessage="0" showErrorMessage="0" allowBlank="1" errorTitle="Invalid entry" error="Please choose a value from the dropdown list." type="list">
      <formula1>=List_CompanyStage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B1:M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26" customWidth="1" min="4" max="4"/>
    <col width="20" customWidth="1" min="5" max="5"/>
    <col width="16" customWidth="1" min="6" max="6"/>
    <col width="20" customWidth="1" min="7" max="7"/>
    <col width="11" customWidth="1" min="8" max="8"/>
    <col width="12" customWidth="1" min="9" max="9"/>
    <col width="11" customWidth="1" min="10" max="10"/>
    <col width="12" customWidth="1" min="11" max="11"/>
    <col width="26" customWidth="1" min="12" max="12"/>
    <col width="26" customWidth="1" min="13" max="13"/>
  </cols>
  <sheetData>
    <row r="1" ht="24" customHeight="1">
      <c r="B1" s="20" t="inlineStr">
        <is>
          <t>🧑‍💼  Employees — People Directory</t>
        </is>
      </c>
    </row>
    <row r="2">
      <c r="B2" s="3" t="inlineStr">
        <is>
          <t>One row per person across all companies. Referenced by Projects, Tasks, and Time Log as Owner/Employee.</t>
        </is>
      </c>
    </row>
    <row r="3" ht="32" customHeight="1">
      <c r="B3" s="24" t="inlineStr">
        <is>
          <t>Employee ID</t>
        </is>
      </c>
      <c r="C3" s="24" t="inlineStr">
        <is>
          <t>Name</t>
        </is>
      </c>
      <c r="D3" s="24" t="inlineStr">
        <is>
          <t>Email</t>
        </is>
      </c>
      <c r="E3" s="24" t="inlineStr">
        <is>
          <t>Role / Title</t>
        </is>
      </c>
      <c r="F3" s="24" t="inlineStr">
        <is>
          <t>Department</t>
        </is>
      </c>
      <c r="G3" s="24" t="inlineStr">
        <is>
          <t>Primary Company</t>
        </is>
      </c>
      <c r="H3" s="24" t="inlineStr">
        <is>
          <t>Status</t>
        </is>
      </c>
      <c r="I3" s="24" t="inlineStr">
        <is>
          <t>Start Date</t>
        </is>
      </c>
      <c r="J3" s="24" t="inlineStr">
        <is>
          <t>Open Tasks</t>
        </is>
      </c>
      <c r="K3" s="24" t="inlineStr">
        <is>
          <t>Hours Logged</t>
        </is>
      </c>
      <c r="L3" s="24" t="inlineStr">
        <is>
          <t>Skills</t>
        </is>
      </c>
      <c r="M3" s="24" t="inlineStr">
        <is>
          <t>Notes</t>
        </is>
      </c>
    </row>
    <row r="4">
      <c r="B4" s="18">
        <f>"EMP-"&amp;TEXT(SUBTOTAL(103,$C$4:C4),"0000")</f>
        <v/>
      </c>
      <c r="C4" s="18" t="inlineStr">
        <is>
          <t>Humayra Shajahan</t>
        </is>
      </c>
      <c r="D4" s="18" t="inlineStr">
        <is>
          <t>humayrashajahan@gmail.com</t>
        </is>
      </c>
      <c r="E4" s="18" t="inlineStr">
        <is>
          <t>Founder / CEO</t>
        </is>
      </c>
      <c r="F4" s="18" t="inlineStr">
        <is>
          <t>Operations</t>
        </is>
      </c>
      <c r="G4" s="18" t="inlineStr">
        <is>
          <t>Nimbus Analytics</t>
        </is>
      </c>
      <c r="H4" s="18" t="inlineStr">
        <is>
          <t>Active</t>
        </is>
      </c>
      <c r="I4" s="23" t="n">
        <v>44936</v>
      </c>
      <c r="J4" s="18">
        <f>COUNTIFS(Tbl_Tasks[Owner],C4,Tbl_Tasks[Status],"&lt;&gt;Completed",Tbl_Tasks[Status],"&lt;&gt;Cancelled")</f>
        <v/>
      </c>
      <c r="K4" s="19">
        <f>ROUND(SUMIFS(Tbl_TimeLog[Total Hours],Tbl_TimeLog[Employee],C4),1)</f>
        <v/>
      </c>
      <c r="L4" s="18" t="inlineStr">
        <is>
          <t>Strategy, Fundraising, Product</t>
        </is>
      </c>
      <c r="M4" s="18" t="inlineStr"/>
    </row>
    <row r="5">
      <c r="B5" s="18">
        <f>"EMP-"&amp;TEXT(SUBTOTAL(103,$C$4:C5),"0000")</f>
        <v/>
      </c>
      <c r="C5" s="18" t="inlineStr">
        <is>
          <t>Ali Raza</t>
        </is>
      </c>
      <c r="D5" s="18" t="inlineStr">
        <is>
          <t>ali.raza@example.com</t>
        </is>
      </c>
      <c r="E5" s="18" t="inlineStr">
        <is>
          <t>Lead Engineer</t>
        </is>
      </c>
      <c r="F5" s="18" t="inlineStr">
        <is>
          <t>Engineering</t>
        </is>
      </c>
      <c r="G5" s="18" t="inlineStr">
        <is>
          <t>Nimbus Analytics</t>
        </is>
      </c>
      <c r="H5" s="18" t="inlineStr">
        <is>
          <t>Active</t>
        </is>
      </c>
      <c r="I5" s="23" t="n">
        <v>44986</v>
      </c>
      <c r="J5" s="18">
        <f>COUNTIFS(Tbl_Tasks[Owner],C5,Tbl_Tasks[Status],"&lt;&gt;Completed",Tbl_Tasks[Status],"&lt;&gt;Cancelled")</f>
        <v/>
      </c>
      <c r="K5" s="19">
        <f>ROUND(SUMIFS(Tbl_TimeLog[Total Hours],Tbl_TimeLog[Employee],C5),1)</f>
        <v/>
      </c>
      <c r="L5" s="18" t="inlineStr">
        <is>
          <t>Python, React, AWS</t>
        </is>
      </c>
      <c r="M5" s="18" t="inlineStr"/>
    </row>
    <row r="6">
      <c r="B6" s="18">
        <f>"EMP-"&amp;TEXT(SUBTOTAL(103,$C$4:C6),"0000")</f>
        <v/>
      </c>
      <c r="C6" s="18" t="inlineStr">
        <is>
          <t>Sara Khan</t>
        </is>
      </c>
      <c r="D6" s="18" t="inlineStr">
        <is>
          <t>sara.khan@example.com</t>
        </is>
      </c>
      <c r="E6" s="18" t="inlineStr">
        <is>
          <t>Product Designer</t>
        </is>
      </c>
      <c r="F6" s="18" t="inlineStr">
        <is>
          <t>Design</t>
        </is>
      </c>
      <c r="G6" s="18" t="inlineStr">
        <is>
          <t>Nimbus Analytics</t>
        </is>
      </c>
      <c r="H6" s="18" t="inlineStr">
        <is>
          <t>Active</t>
        </is>
      </c>
      <c r="I6" s="23" t="n">
        <v>45092</v>
      </c>
      <c r="J6" s="18">
        <f>COUNTIFS(Tbl_Tasks[Owner],C6,Tbl_Tasks[Status],"&lt;&gt;Completed",Tbl_Tasks[Status],"&lt;&gt;Cancelled")</f>
        <v/>
      </c>
      <c r="K6" s="19">
        <f>ROUND(SUMIFS(Tbl_TimeLog[Total Hours],Tbl_TimeLog[Employee],C6),1)</f>
        <v/>
      </c>
      <c r="L6" s="18" t="inlineStr">
        <is>
          <t>Figma, UX Research</t>
        </is>
      </c>
      <c r="M6" s="18" t="inlineStr"/>
    </row>
    <row r="7">
      <c r="B7" s="18">
        <f>"EMP-"&amp;TEXT(SUBTOTAL(103,$C$4:C7),"0000")</f>
        <v/>
      </c>
      <c r="C7" s="18" t="inlineStr">
        <is>
          <t>Bilal Ahmed</t>
        </is>
      </c>
      <c r="D7" s="18" t="inlineStr">
        <is>
          <t>bilal.ahmed@example.com</t>
        </is>
      </c>
      <c r="E7" s="18" t="inlineStr">
        <is>
          <t>Growth Marketer</t>
        </is>
      </c>
      <c r="F7" s="18" t="inlineStr">
        <is>
          <t>Marketing</t>
        </is>
      </c>
      <c r="G7" s="18" t="inlineStr">
        <is>
          <t>Kiln &amp; Co</t>
        </is>
      </c>
      <c r="H7" s="18" t="inlineStr">
        <is>
          <t>Active</t>
        </is>
      </c>
      <c r="I7" s="23" t="n">
        <v>45296</v>
      </c>
      <c r="J7" s="18">
        <f>COUNTIFS(Tbl_Tasks[Owner],C7,Tbl_Tasks[Status],"&lt;&gt;Completed",Tbl_Tasks[Status],"&lt;&gt;Cancelled")</f>
        <v/>
      </c>
      <c r="K7" s="19">
        <f>ROUND(SUMIFS(Tbl_TimeLog[Total Hours],Tbl_TimeLog[Employee],C7),1)</f>
        <v/>
      </c>
      <c r="L7" s="18" t="inlineStr">
        <is>
          <t>SEO, Paid Ads, Content</t>
        </is>
      </c>
      <c r="M7" s="18" t="inlineStr"/>
    </row>
    <row r="8">
      <c r="B8" s="18">
        <f>"EMP-"&amp;TEXT(SUBTOTAL(103,$C$4:C8),"0000")</f>
        <v/>
      </c>
      <c r="C8" s="18" t="inlineStr">
        <is>
          <t>Nadia Farooq</t>
        </is>
      </c>
      <c r="D8" s="18" t="inlineStr">
        <is>
          <t>nadia.farooq@example.com</t>
        </is>
      </c>
      <c r="E8" s="18" t="inlineStr">
        <is>
          <t>Ops Manager</t>
        </is>
      </c>
      <c r="F8" s="18" t="inlineStr">
        <is>
          <t>Operations</t>
        </is>
      </c>
      <c r="G8" s="18" t="inlineStr">
        <is>
          <t>Kiln &amp; Co</t>
        </is>
      </c>
      <c r="H8" s="18" t="inlineStr">
        <is>
          <t>Active</t>
        </is>
      </c>
      <c r="I8" s="23" t="n">
        <v>45342</v>
      </c>
      <c r="J8" s="18">
        <f>COUNTIFS(Tbl_Tasks[Owner],C8,Tbl_Tasks[Status],"&lt;&gt;Completed",Tbl_Tasks[Status],"&lt;&gt;Cancelled")</f>
        <v/>
      </c>
      <c r="K8" s="19">
        <f>ROUND(SUMIFS(Tbl_TimeLog[Total Hours],Tbl_TimeLog[Employee],C8),1)</f>
        <v/>
      </c>
      <c r="L8" s="18" t="inlineStr">
        <is>
          <t>Logistics, Vendor Mgmt</t>
        </is>
      </c>
      <c r="M8" s="18" t="inlineStr"/>
    </row>
    <row r="9">
      <c r="B9" s="18">
        <f>"EMP-"&amp;TEXT(SUBTOTAL(103,$C$4:C9),"0000")</f>
        <v/>
      </c>
      <c r="C9" s="18" t="inlineStr">
        <is>
          <t>Omar Siddiqui</t>
        </is>
      </c>
      <c r="D9" s="18" t="inlineStr">
        <is>
          <t>omar.siddiqui@example.com</t>
        </is>
      </c>
      <c r="E9" s="18" t="inlineStr">
        <is>
          <t>Full-Stack Engineer</t>
        </is>
      </c>
      <c r="F9" s="18" t="inlineStr">
        <is>
          <t>Engineering</t>
        </is>
      </c>
      <c r="G9" s="18" t="inlineStr">
        <is>
          <t>Pathlight Tutors</t>
        </is>
      </c>
      <c r="H9" s="18" t="inlineStr">
        <is>
          <t>Active</t>
        </is>
      </c>
      <c r="I9" s="23" t="n">
        <v>45505</v>
      </c>
      <c r="J9" s="18">
        <f>COUNTIFS(Tbl_Tasks[Owner],C9,Tbl_Tasks[Status],"&lt;&gt;Completed",Tbl_Tasks[Status],"&lt;&gt;Cancelled")</f>
        <v/>
      </c>
      <c r="K9" s="19">
        <f>ROUND(SUMIFS(Tbl_TimeLog[Total Hours],Tbl_TimeLog[Employee],C9),1)</f>
        <v/>
      </c>
      <c r="L9" s="18" t="inlineStr">
        <is>
          <t>Node.js, Postgres</t>
        </is>
      </c>
      <c r="M9" s="18" t="inlineStr"/>
    </row>
  </sheetData>
  <conditionalFormatting sqref="H4:H1000">
    <cfRule type="expression" priority="1" dxfId="0">
      <formula>EXACT(H4,"Active")</formula>
    </cfRule>
    <cfRule type="expression" priority="2" dxfId="2">
      <formula>EXACT(H4,"Inactive")</formula>
    </cfRule>
    <cfRule type="expression" priority="3" dxfId="1">
      <formula>EXACT(H4,"On Leave")</formula>
    </cfRule>
  </conditionalFormatting>
  <dataValidations count="3">
    <dataValidation sqref="F4:F1000" showDropDown="0" showInputMessage="0" showErrorMessage="0" allowBlank="1" errorTitle="Invalid entry" error="Please choose a value from the dropdown list." type="list">
      <formula1>=List_Departments</formula1>
    </dataValidation>
    <dataValidation sqref="G4:G1000" showDropDown="0" showInputMessage="0" showErrorMessage="0" allowBlank="1" errorTitle="Invalid entry" error="Please choose a value from the dropdown list." type="list">
      <formula1>=List_CompanyNames</formula1>
    </dataValidation>
    <dataValidation sqref="H4:H1000" showDropDown="0" showInputMessage="0" showErrorMessage="0" allowBlank="1" errorTitle="Invalid entry" error="Please choose a value from the dropdown list." type="list">
      <formula1>=List_EmployeeStatus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B1:R10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20" customWidth="1" min="3" max="3"/>
    <col width="26" customWidth="1" min="4" max="4"/>
    <col width="34" customWidth="1" min="5" max="5"/>
    <col width="11" customWidth="1" min="6" max="6"/>
    <col width="15" customWidth="1" min="7" max="7"/>
    <col width="18" customWidth="1" min="8" max="8"/>
    <col width="13" customWidth="1" min="9" max="9"/>
    <col width="12" customWidth="1" min="10" max="10"/>
    <col width="12" customWidth="1" min="11" max="11"/>
    <col width="13" customWidth="1" min="12" max="12"/>
    <col width="12" customWidth="1" min="13" max="13"/>
    <col width="13" customWidth="1" min="14" max="14"/>
    <col width="11" customWidth="1" min="15" max="15"/>
    <col width="13" customWidth="1" min="16" max="16"/>
    <col width="12" customWidth="1" min="17" max="17"/>
    <col width="28" customWidth="1" min="18" max="18"/>
  </cols>
  <sheetData>
    <row r="1" ht="24" customHeight="1">
      <c r="B1" s="20" t="inlineStr">
        <is>
          <t>📁  Projects</t>
        </is>
      </c>
    </row>
    <row r="2">
      <c r="B2" s="3" t="inlineStr">
        <is>
          <t>One row per project. Hours and completion % roll up automatically from Tasks and Time Log.</t>
        </is>
      </c>
    </row>
    <row r="3" ht="32" customHeight="1">
      <c r="B3" s="25" t="inlineStr">
        <is>
          <t>Project ID</t>
        </is>
      </c>
      <c r="C3" s="25" t="inlineStr">
        <is>
          <t>Company</t>
        </is>
      </c>
      <c r="D3" s="25" t="inlineStr">
        <is>
          <t>Project Name</t>
        </is>
      </c>
      <c r="E3" s="25" t="inlineStr">
        <is>
          <t>Description</t>
        </is>
      </c>
      <c r="F3" s="25" t="inlineStr">
        <is>
          <t>Priority</t>
        </is>
      </c>
      <c r="G3" s="25" t="inlineStr">
        <is>
          <t>Department</t>
        </is>
      </c>
      <c r="H3" s="25" t="inlineStr">
        <is>
          <t>Owner</t>
        </is>
      </c>
      <c r="I3" s="25" t="inlineStr">
        <is>
          <t>Status</t>
        </is>
      </c>
      <c r="J3" s="25" t="inlineStr">
        <is>
          <t>Start Date</t>
        </is>
      </c>
      <c r="K3" s="25" t="inlineStr">
        <is>
          <t>End Date</t>
        </is>
      </c>
      <c r="L3" s="25" t="inlineStr">
        <is>
          <t>Estimated Hours</t>
        </is>
      </c>
      <c r="M3" s="25" t="inlineStr">
        <is>
          <t>Actual Hours</t>
        </is>
      </c>
      <c r="N3" s="25" t="inlineStr">
        <is>
          <t>Remaining Hours</t>
        </is>
      </c>
      <c r="O3" s="25" t="inlineStr">
        <is>
          <t>Total Tasks</t>
        </is>
      </c>
      <c r="P3" s="25" t="inlineStr">
        <is>
          <t>Completed Tasks</t>
        </is>
      </c>
      <c r="Q3" s="25" t="inlineStr">
        <is>
          <t>Completion %</t>
        </is>
      </c>
      <c r="R3" s="25" t="inlineStr">
        <is>
          <t>Notes</t>
        </is>
      </c>
    </row>
    <row r="4">
      <c r="B4" s="18">
        <f>"PROJ-"&amp;TEXT(SUBTOTAL(103,$D$4:D4),"0000")</f>
        <v/>
      </c>
      <c r="C4" s="18" t="inlineStr">
        <is>
          <t>Nimbus Analytics</t>
        </is>
      </c>
      <c r="D4" s="18" t="inlineStr">
        <is>
          <t>Analytics Dashboard v2</t>
        </is>
      </c>
      <c r="E4" s="18" t="inlineStr">
        <is>
          <t>Rebuild core dashboard with faster queries.</t>
        </is>
      </c>
      <c r="F4" s="18" t="inlineStr">
        <is>
          <t>High</t>
        </is>
      </c>
      <c r="G4" s="18" t="inlineStr">
        <is>
          <t>Engineering</t>
        </is>
      </c>
      <c r="H4" s="18" t="inlineStr">
        <is>
          <t>Ali Raza</t>
        </is>
      </c>
      <c r="I4" s="18" t="inlineStr">
        <is>
          <t>In Progress</t>
        </is>
      </c>
      <c r="J4" s="23" t="n">
        <v>46143</v>
      </c>
      <c r="K4" s="23" t="n">
        <v>46266</v>
      </c>
      <c r="L4" s="18" t="n">
        <v>320</v>
      </c>
      <c r="M4" s="19">
        <f>ROUND(SUMIFS(Tbl_TimeLog[Total Hours],Tbl_TimeLog[Project],D4),1)</f>
        <v/>
      </c>
      <c r="N4" s="19">
        <f>ROUND(MAX(0,L4-M4),1)</f>
        <v/>
      </c>
      <c r="O4" s="18">
        <f>COUNTIFS(Tbl_Tasks[Project],D4)</f>
        <v/>
      </c>
      <c r="P4" s="18">
        <f>COUNTIFS(Tbl_Tasks[Project],D4,Tbl_Tasks[Status],"Completed")</f>
        <v/>
      </c>
      <c r="Q4" s="26">
        <f>IF(O4=0,0,P4/O4)</f>
        <v/>
      </c>
      <c r="R4" s="18" t="inlineStr"/>
    </row>
    <row r="5">
      <c r="B5" s="18">
        <f>"PROJ-"&amp;TEXT(SUBTOTAL(103,$D$4:D5),"0000")</f>
        <v/>
      </c>
      <c r="C5" s="18" t="inlineStr">
        <is>
          <t>Nimbus Analytics</t>
        </is>
      </c>
      <c r="D5" s="18" t="inlineStr">
        <is>
          <t>Self-Serve Onboarding</t>
        </is>
      </c>
      <c r="E5" s="18" t="inlineStr">
        <is>
          <t>Reduce time-to-value for new signups.</t>
        </is>
      </c>
      <c r="F5" s="18" t="inlineStr">
        <is>
          <t>Critical</t>
        </is>
      </c>
      <c r="G5" s="18" t="inlineStr">
        <is>
          <t>Product</t>
        </is>
      </c>
      <c r="H5" s="18" t="inlineStr">
        <is>
          <t>Sara Khan</t>
        </is>
      </c>
      <c r="I5" s="18" t="inlineStr">
        <is>
          <t>In Progress</t>
        </is>
      </c>
      <c r="J5" s="23" t="n">
        <v>46188</v>
      </c>
      <c r="K5" s="23" t="n">
        <v>46264</v>
      </c>
      <c r="L5" s="18" t="n">
        <v>180</v>
      </c>
      <c r="M5" s="19">
        <f>ROUND(SUMIFS(Tbl_TimeLog[Total Hours],Tbl_TimeLog[Project],D5),1)</f>
        <v/>
      </c>
      <c r="N5" s="19">
        <f>ROUND(MAX(0,L5-M5),1)</f>
        <v/>
      </c>
      <c r="O5" s="18">
        <f>COUNTIFS(Tbl_Tasks[Project],D5)</f>
        <v/>
      </c>
      <c r="P5" s="18">
        <f>COUNTIFS(Tbl_Tasks[Project],D5,Tbl_Tasks[Status],"Completed")</f>
        <v/>
      </c>
      <c r="Q5" s="26">
        <f>IF(O5=0,0,P5/O5)</f>
        <v/>
      </c>
      <c r="R5" s="18" t="inlineStr"/>
    </row>
    <row r="6">
      <c r="B6" s="18">
        <f>"PROJ-"&amp;TEXT(SUBTOTAL(103,$D$4:D6),"0000")</f>
        <v/>
      </c>
      <c r="C6" s="18" t="inlineStr">
        <is>
          <t>Nimbus Analytics</t>
        </is>
      </c>
      <c r="D6" s="18" t="inlineStr">
        <is>
          <t>SOC 2 Prep</t>
        </is>
      </c>
      <c r="E6" s="18" t="inlineStr">
        <is>
          <t>Get compliance docs and controls in place.</t>
        </is>
      </c>
      <c r="F6" s="18" t="inlineStr">
        <is>
          <t>Medium</t>
        </is>
      </c>
      <c r="G6" s="18" t="inlineStr">
        <is>
          <t>Operations</t>
        </is>
      </c>
      <c r="H6" s="18" t="inlineStr">
        <is>
          <t>Humayra Shajahan</t>
        </is>
      </c>
      <c r="I6" s="18" t="inlineStr">
        <is>
          <t>Not Started</t>
        </is>
      </c>
      <c r="J6" s="23" t="n">
        <v>46266</v>
      </c>
      <c r="K6" s="23" t="n">
        <v>46371</v>
      </c>
      <c r="L6" s="18" t="n">
        <v>120</v>
      </c>
      <c r="M6" s="19">
        <f>ROUND(SUMIFS(Tbl_TimeLog[Total Hours],Tbl_TimeLog[Project],D6),1)</f>
        <v/>
      </c>
      <c r="N6" s="19">
        <f>ROUND(MAX(0,L6-M6),1)</f>
        <v/>
      </c>
      <c r="O6" s="18">
        <f>COUNTIFS(Tbl_Tasks[Project],D6)</f>
        <v/>
      </c>
      <c r="P6" s="18">
        <f>COUNTIFS(Tbl_Tasks[Project],D6,Tbl_Tasks[Status],"Completed")</f>
        <v/>
      </c>
      <c r="Q6" s="26">
        <f>IF(O6=0,0,P6/O6)</f>
        <v/>
      </c>
      <c r="R6" s="18" t="inlineStr"/>
    </row>
    <row r="7">
      <c r="B7" s="18">
        <f>"PROJ-"&amp;TEXT(SUBTOTAL(103,$D$4:D7),"0000")</f>
        <v/>
      </c>
      <c r="C7" s="18" t="inlineStr">
        <is>
          <t>Kiln &amp; Co</t>
        </is>
      </c>
      <c r="D7" s="18" t="inlineStr">
        <is>
          <t>Winter Collection Launch</t>
        </is>
      </c>
      <c r="E7" s="18" t="inlineStr">
        <is>
          <t>Design, source, and launch winter line.</t>
        </is>
      </c>
      <c r="F7" s="18" t="inlineStr">
        <is>
          <t>High</t>
        </is>
      </c>
      <c r="G7" s="18" t="inlineStr">
        <is>
          <t>Marketing</t>
        </is>
      </c>
      <c r="H7" s="18" t="inlineStr">
        <is>
          <t>Bilal Ahmed</t>
        </is>
      </c>
      <c r="I7" s="18" t="inlineStr">
        <is>
          <t>In Progress</t>
        </is>
      </c>
      <c r="J7" s="23" t="n">
        <v>46174</v>
      </c>
      <c r="K7" s="23" t="n">
        <v>46296</v>
      </c>
      <c r="L7" s="18" t="n">
        <v>260</v>
      </c>
      <c r="M7" s="19">
        <f>ROUND(SUMIFS(Tbl_TimeLog[Total Hours],Tbl_TimeLog[Project],D7),1)</f>
        <v/>
      </c>
      <c r="N7" s="19">
        <f>ROUND(MAX(0,L7-M7),1)</f>
        <v/>
      </c>
      <c r="O7" s="18">
        <f>COUNTIFS(Tbl_Tasks[Project],D7)</f>
        <v/>
      </c>
      <c r="P7" s="18">
        <f>COUNTIFS(Tbl_Tasks[Project],D7,Tbl_Tasks[Status],"Completed")</f>
        <v/>
      </c>
      <c r="Q7" s="26">
        <f>IF(O7=0,0,P7/O7)</f>
        <v/>
      </c>
      <c r="R7" s="18" t="inlineStr"/>
    </row>
    <row r="8">
      <c r="B8" s="18">
        <f>"PROJ-"&amp;TEXT(SUBTOTAL(103,$D$4:D8),"0000")</f>
        <v/>
      </c>
      <c r="C8" s="18" t="inlineStr">
        <is>
          <t>Kiln &amp; Co</t>
        </is>
      </c>
      <c r="D8" s="18" t="inlineStr">
        <is>
          <t>Warehouse Automation</t>
        </is>
      </c>
      <c r="E8" s="18" t="inlineStr">
        <is>
          <t>Automate pick/pack workflow.</t>
        </is>
      </c>
      <c r="F8" s="18" t="inlineStr">
        <is>
          <t>Medium</t>
        </is>
      </c>
      <c r="G8" s="18" t="inlineStr">
        <is>
          <t>Operations</t>
        </is>
      </c>
      <c r="H8" s="18" t="inlineStr">
        <is>
          <t>Nadia Farooq</t>
        </is>
      </c>
      <c r="I8" s="18" t="inlineStr">
        <is>
          <t>In Progress</t>
        </is>
      </c>
      <c r="J8" s="23" t="n">
        <v>46204</v>
      </c>
      <c r="K8" s="23" t="n">
        <v>46327</v>
      </c>
      <c r="L8" s="18" t="n">
        <v>150</v>
      </c>
      <c r="M8" s="19">
        <f>ROUND(SUMIFS(Tbl_TimeLog[Total Hours],Tbl_TimeLog[Project],D8),1)</f>
        <v/>
      </c>
      <c r="N8" s="19">
        <f>ROUND(MAX(0,L8-M8),1)</f>
        <v/>
      </c>
      <c r="O8" s="18">
        <f>COUNTIFS(Tbl_Tasks[Project],D8)</f>
        <v/>
      </c>
      <c r="P8" s="18">
        <f>COUNTIFS(Tbl_Tasks[Project],D8,Tbl_Tasks[Status],"Completed")</f>
        <v/>
      </c>
      <c r="Q8" s="26">
        <f>IF(O8=0,0,P8/O8)</f>
        <v/>
      </c>
      <c r="R8" s="18" t="inlineStr"/>
    </row>
    <row r="9">
      <c r="B9" s="18">
        <f>"PROJ-"&amp;TEXT(SUBTOTAL(103,$D$4:D9),"0000")</f>
        <v/>
      </c>
      <c r="C9" s="18" t="inlineStr">
        <is>
          <t>Pathlight Tutors</t>
        </is>
      </c>
      <c r="D9" s="18" t="inlineStr">
        <is>
          <t>MVP Marketplace Build</t>
        </is>
      </c>
      <c r="E9" s="18" t="inlineStr">
        <is>
          <t>Build tutor/student matching MVP.</t>
        </is>
      </c>
      <c r="F9" s="18" t="inlineStr">
        <is>
          <t>Critical</t>
        </is>
      </c>
      <c r="G9" s="18" t="inlineStr">
        <is>
          <t>Engineering</t>
        </is>
      </c>
      <c r="H9" s="18" t="inlineStr">
        <is>
          <t>Omar Siddiqui</t>
        </is>
      </c>
      <c r="I9" s="18" t="inlineStr">
        <is>
          <t>In Progress</t>
        </is>
      </c>
      <c r="J9" s="23" t="n">
        <v>46174</v>
      </c>
      <c r="K9" s="23" t="n">
        <v>46280</v>
      </c>
      <c r="L9" s="18" t="n">
        <v>400</v>
      </c>
      <c r="M9" s="19">
        <f>ROUND(SUMIFS(Tbl_TimeLog[Total Hours],Tbl_TimeLog[Project],D9),1)</f>
        <v/>
      </c>
      <c r="N9" s="19">
        <f>ROUND(MAX(0,L9-M9),1)</f>
        <v/>
      </c>
      <c r="O9" s="18">
        <f>COUNTIFS(Tbl_Tasks[Project],D9)</f>
        <v/>
      </c>
      <c r="P9" s="18">
        <f>COUNTIFS(Tbl_Tasks[Project],D9,Tbl_Tasks[Status],"Completed")</f>
        <v/>
      </c>
      <c r="Q9" s="26">
        <f>IF(O9=0,0,P9/O9)</f>
        <v/>
      </c>
      <c r="R9" s="18" t="inlineStr"/>
    </row>
    <row r="10">
      <c r="B10" s="18">
        <f>"PROJ-"&amp;TEXT(SUBTOTAL(103,$D$4:D10),"0000")</f>
        <v/>
      </c>
      <c r="C10" s="18" t="inlineStr">
        <is>
          <t>Pathlight Tutors</t>
        </is>
      </c>
      <c r="D10" s="18" t="inlineStr">
        <is>
          <t>Market Validation Interviews</t>
        </is>
      </c>
      <c r="E10" s="18" t="inlineStr">
        <is>
          <t>Run 30 parent/tutor interviews.</t>
        </is>
      </c>
      <c r="F10" s="18" t="inlineStr">
        <is>
          <t>High</t>
        </is>
      </c>
      <c r="G10" s="18" t="inlineStr">
        <is>
          <t>Product</t>
        </is>
      </c>
      <c r="H10" s="18" t="inlineStr">
        <is>
          <t>Humayra Shajahan</t>
        </is>
      </c>
      <c r="I10" s="18" t="inlineStr">
        <is>
          <t>In Review</t>
        </is>
      </c>
      <c r="J10" s="23" t="n">
        <v>46143</v>
      </c>
      <c r="K10" s="23" t="n">
        <v>46218</v>
      </c>
      <c r="L10" s="18" t="n">
        <v>40</v>
      </c>
      <c r="M10" s="19">
        <f>ROUND(SUMIFS(Tbl_TimeLog[Total Hours],Tbl_TimeLog[Project],D10),1)</f>
        <v/>
      </c>
      <c r="N10" s="19">
        <f>ROUND(MAX(0,L10-M10),1)</f>
        <v/>
      </c>
      <c r="O10" s="18">
        <f>COUNTIFS(Tbl_Tasks[Project],D10)</f>
        <v/>
      </c>
      <c r="P10" s="18">
        <f>COUNTIFS(Tbl_Tasks[Project],D10,Tbl_Tasks[Status],"Completed")</f>
        <v/>
      </c>
      <c r="Q10" s="26">
        <f>IF(O10=0,0,P10/O10)</f>
        <v/>
      </c>
      <c r="R10" s="18" t="inlineStr"/>
    </row>
  </sheetData>
  <conditionalFormatting sqref="I4:I2000">
    <cfRule type="expression" priority="1" dxfId="2">
      <formula>EXACT(I4,"Not Started")</formula>
    </cfRule>
    <cfRule type="expression" priority="2" dxfId="3">
      <formula>EXACT(I4,"In Progress")</formula>
    </cfRule>
    <cfRule type="expression" priority="3" dxfId="4">
      <formula>EXACT(I4,"Blocked")</formula>
    </cfRule>
    <cfRule type="expression" priority="4" dxfId="5">
      <formula>EXACT(I4,"In Review")</formula>
    </cfRule>
    <cfRule type="expression" priority="5" dxfId="0">
      <formula>EXACT(I4,"Completed")</formula>
    </cfRule>
    <cfRule type="expression" priority="6" dxfId="2">
      <formula>EXACT(I4,"Cancelled")</formula>
    </cfRule>
    <cfRule type="expression" priority="7" dxfId="1">
      <formula>EXACT(I4,"On Hold")</formula>
    </cfRule>
  </conditionalFormatting>
  <conditionalFormatting sqref="F4:F2000">
    <cfRule type="expression" priority="8" dxfId="4">
      <formula>EXACT(F4,"Critical")</formula>
    </cfRule>
    <cfRule type="expression" priority="9" dxfId="1">
      <formula>EXACT(F4,"High")</formula>
    </cfRule>
    <cfRule type="expression" priority="10" dxfId="3">
      <formula>EXACT(F4,"Medium")</formula>
    </cfRule>
    <cfRule type="expression" priority="11" dxfId="2">
      <formula>EXACT(F4,"Low")</formula>
    </cfRule>
  </conditionalFormatting>
  <conditionalFormatting sqref="Q4:Q2000">
    <cfRule type="dataBar" priority="12">
      <dataBar showValue="1">
        <cfvo type="num" val="0"/>
        <cfvo type="num" val="100"/>
        <color rgb="007C3AED"/>
      </dataBar>
    </cfRule>
  </conditionalFormatting>
  <dataValidations count="5">
    <dataValidation sqref="C4:C2000" showDropDown="0" showInputMessage="0" showErrorMessage="0" allowBlank="1" errorTitle="Invalid entry" error="Please choose a value from the dropdown list." type="list">
      <formula1>=List_CompanyNames</formula1>
    </dataValidation>
    <dataValidation sqref="F4:F2000" showDropDown="0" showInputMessage="0" showErrorMessage="0" allowBlank="1" errorTitle="Invalid entry" error="Please choose a value from the dropdown list." type="list">
      <formula1>=List_Priority</formula1>
    </dataValidation>
    <dataValidation sqref="G4:G2000" showDropDown="0" showInputMessage="0" showErrorMessage="0" allowBlank="1" errorTitle="Invalid entry" error="Please choose a value from the dropdown list." type="list">
      <formula1>=List_Departments</formula1>
    </dataValidation>
    <dataValidation sqref="H4:H2000" showDropDown="0" showInputMessage="0" showErrorMessage="0" allowBlank="1" errorTitle="Invalid entry" error="Please choose a value from the dropdown list." type="list">
      <formula1>=List_EmployeeNames</formula1>
    </dataValidation>
    <dataValidation sqref="I4:I2000" showDropDown="0" showInputMessage="0" showErrorMessage="0" allowBlank="1" errorTitle="Invalid entry" error="Please choose a value from the dropdown list." type="list">
      <formula1>=List_Statuses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B1:Q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24" customWidth="1" min="4" max="4"/>
    <col width="18" customWidth="1" min="5" max="5"/>
    <col width="15" customWidth="1" min="6" max="6"/>
    <col width="1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14" customWidth="1" min="13" max="13"/>
    <col width="13" customWidth="1" min="14" max="14"/>
    <col width="12" customWidth="1" min="15" max="15"/>
    <col width="11" customWidth="1" min="16" max="16"/>
    <col width="28" customWidth="1" min="17" max="17"/>
  </cols>
  <sheetData>
    <row r="1" ht="24" customHeight="1">
      <c r="B1" s="20" t="inlineStr">
        <is>
          <t>✅  Tasks</t>
        </is>
      </c>
    </row>
    <row r="2">
      <c r="B2" s="3" t="inlineStr">
        <is>
          <t>One row per task. Company is derived automatically from the selected Project. Overdue tasks are highlighted in red.</t>
        </is>
      </c>
    </row>
    <row r="3" ht="32" customHeight="1">
      <c r="B3" s="27" t="inlineStr">
        <is>
          <t>Task ID</t>
        </is>
      </c>
      <c r="C3" s="27" t="inlineStr">
        <is>
          <t>Task Name</t>
        </is>
      </c>
      <c r="D3" s="27" t="inlineStr">
        <is>
          <t>Project</t>
        </is>
      </c>
      <c r="E3" s="27" t="inlineStr">
        <is>
          <t>Company</t>
        </is>
      </c>
      <c r="F3" s="27" t="inlineStr">
        <is>
          <t>Department</t>
        </is>
      </c>
      <c r="G3" s="27" t="inlineStr">
        <is>
          <t>Owner</t>
        </is>
      </c>
      <c r="H3" s="27" t="inlineStr">
        <is>
          <t>Task Type</t>
        </is>
      </c>
      <c r="I3" s="27" t="inlineStr">
        <is>
          <t>Priority</t>
        </is>
      </c>
      <c r="J3" s="27" t="inlineStr">
        <is>
          <t>Status</t>
        </is>
      </c>
      <c r="K3" s="27" t="inlineStr">
        <is>
          <t>Created Date</t>
        </is>
      </c>
      <c r="L3" s="27" t="inlineStr">
        <is>
          <t>Due Date</t>
        </is>
      </c>
      <c r="M3" s="27" t="inlineStr">
        <is>
          <t>Completed Date</t>
        </is>
      </c>
      <c r="N3" s="27" t="inlineStr">
        <is>
          <t>Estimated Hours</t>
        </is>
      </c>
      <c r="O3" s="27" t="inlineStr">
        <is>
          <t>Actual Hours</t>
        </is>
      </c>
      <c r="P3" s="27" t="inlineStr">
        <is>
          <t>Progress %</t>
        </is>
      </c>
      <c r="Q3" s="27" t="inlineStr">
        <is>
          <t>Notes</t>
        </is>
      </c>
    </row>
    <row r="4">
      <c r="B4" s="18">
        <f>"TASK-"&amp;TEXT(SUBTOTAL(103,$K$4:K4),"0000")</f>
        <v/>
      </c>
      <c r="C4" s="18" t="inlineStr">
        <is>
          <t>Rewrite query layer for Postgres partitioning</t>
        </is>
      </c>
      <c r="D4" s="18" t="inlineStr">
        <is>
          <t>Analytics Dashboard v2</t>
        </is>
      </c>
      <c r="E4" s="18">
        <f>IFERROR(INDEX(Tbl_Projects[Company],MATCH(D4,Tbl_Projects[Project Name],0)),"")</f>
        <v/>
      </c>
      <c r="F4" s="18" t="inlineStr">
        <is>
          <t>Engineering</t>
        </is>
      </c>
      <c r="G4" s="18" t="inlineStr">
        <is>
          <t>Ali Raza</t>
        </is>
      </c>
      <c r="H4" s="18" t="inlineStr">
        <is>
          <t>Feature</t>
        </is>
      </c>
      <c r="I4" s="18" t="inlineStr">
        <is>
          <t>High</t>
        </is>
      </c>
      <c r="J4" s="18" t="inlineStr">
        <is>
          <t>In Progress</t>
        </is>
      </c>
      <c r="K4" s="23" t="n">
        <v>46174</v>
      </c>
      <c r="L4" s="23" t="n">
        <v>46235</v>
      </c>
      <c r="M4" s="23" t="n"/>
      <c r="N4" s="18" t="n">
        <v>40</v>
      </c>
      <c r="O4" s="19">
        <f>ROUND(SUMIFS(Tbl_TimeLog[Total Hours],Tbl_TimeLog[Task],B4),1)</f>
        <v/>
      </c>
      <c r="P4" s="26">
        <f>IF(J4="Completed",1,IF(OR(J4="Cancelled",N4=0),0,MIN(0.95,O4/N4)))</f>
        <v/>
      </c>
      <c r="Q4" s="18" t="inlineStr"/>
    </row>
    <row r="5">
      <c r="B5" s="18">
        <f>"TASK-"&amp;TEXT(SUBTOTAL(103,$K$4:K5),"0000")</f>
        <v/>
      </c>
      <c r="C5" s="18" t="inlineStr">
        <is>
          <t>Add caching layer for dashboard widgets</t>
        </is>
      </c>
      <c r="D5" s="18" t="inlineStr">
        <is>
          <t>Analytics Dashboard v2</t>
        </is>
      </c>
      <c r="E5" s="18">
        <f>IFERROR(INDEX(Tbl_Projects[Company],MATCH(D5,Tbl_Projects[Project Name],0)),"")</f>
        <v/>
      </c>
      <c r="F5" s="18" t="inlineStr">
        <is>
          <t>Engineering</t>
        </is>
      </c>
      <c r="G5" s="18" t="inlineStr">
        <is>
          <t>Ali Raza</t>
        </is>
      </c>
      <c r="H5" s="18" t="inlineStr">
        <is>
          <t>Feature</t>
        </is>
      </c>
      <c r="I5" s="18" t="inlineStr">
        <is>
          <t>Medium</t>
        </is>
      </c>
      <c r="J5" s="18" t="inlineStr">
        <is>
          <t>Not Started</t>
        </is>
      </c>
      <c r="K5" s="23" t="n">
        <v>46178</v>
      </c>
      <c r="L5" s="23" t="n">
        <v>46249</v>
      </c>
      <c r="M5" s="23" t="n"/>
      <c r="N5" s="18" t="n">
        <v>24</v>
      </c>
      <c r="O5" s="19">
        <f>ROUND(SUMIFS(Tbl_TimeLog[Total Hours],Tbl_TimeLog[Task],B5),1)</f>
        <v/>
      </c>
      <c r="P5" s="26">
        <f>IF(J5="Completed",1,IF(OR(J5="Cancelled",N5=0),0,MIN(0.95,O5/N5)))</f>
        <v/>
      </c>
      <c r="Q5" s="18" t="inlineStr"/>
    </row>
    <row r="6">
      <c r="B6" s="18">
        <f>"TASK-"&amp;TEXT(SUBTOTAL(103,$K$4:K6),"0000")</f>
        <v/>
      </c>
      <c r="C6" s="18" t="inlineStr">
        <is>
          <t>Fix chart rendering bug on Safari</t>
        </is>
      </c>
      <c r="D6" s="18" t="inlineStr">
        <is>
          <t>Analytics Dashboard v2</t>
        </is>
      </c>
      <c r="E6" s="18">
        <f>IFERROR(INDEX(Tbl_Projects[Company],MATCH(D6,Tbl_Projects[Project Name],0)),"")</f>
        <v/>
      </c>
      <c r="F6" s="18" t="inlineStr">
        <is>
          <t>Engineering</t>
        </is>
      </c>
      <c r="G6" s="18" t="inlineStr">
        <is>
          <t>Ali Raza</t>
        </is>
      </c>
      <c r="H6" s="18" t="inlineStr">
        <is>
          <t>Bug</t>
        </is>
      </c>
      <c r="I6" s="18" t="inlineStr">
        <is>
          <t>High</t>
        </is>
      </c>
      <c r="J6" s="18" t="inlineStr">
        <is>
          <t>Completed</t>
        </is>
      </c>
      <c r="K6" s="23" t="n">
        <v>46152</v>
      </c>
      <c r="L6" s="23" t="n">
        <v>46162</v>
      </c>
      <c r="M6" s="23" t="n">
        <v>46160</v>
      </c>
      <c r="N6" s="18" t="n">
        <v>6</v>
      </c>
      <c r="O6" s="19">
        <f>ROUND(SUMIFS(Tbl_TimeLog[Total Hours],Tbl_TimeLog[Task],B6),1)</f>
        <v/>
      </c>
      <c r="P6" s="26">
        <f>IF(J6="Completed",1,IF(OR(J6="Cancelled",N6=0),0,MIN(0.95,O6/N6)))</f>
        <v/>
      </c>
      <c r="Q6" s="18" t="inlineStr"/>
    </row>
    <row r="7">
      <c r="B7" s="18">
        <f>"TASK-"&amp;TEXT(SUBTOTAL(103,$K$4:K7),"0000")</f>
        <v/>
      </c>
      <c r="C7" s="18" t="inlineStr">
        <is>
          <t>Redesign signup flow wireframes</t>
        </is>
      </c>
      <c r="D7" s="18" t="inlineStr">
        <is>
          <t>Self-Serve Onboarding</t>
        </is>
      </c>
      <c r="E7" s="18">
        <f>IFERROR(INDEX(Tbl_Projects[Company],MATCH(D7,Tbl_Projects[Project Name],0)),"")</f>
        <v/>
      </c>
      <c r="F7" s="18" t="inlineStr">
        <is>
          <t>Design</t>
        </is>
      </c>
      <c r="G7" s="18" t="inlineStr">
        <is>
          <t>Sara Khan</t>
        </is>
      </c>
      <c r="H7" s="18" t="inlineStr">
        <is>
          <t>Design</t>
        </is>
      </c>
      <c r="I7" s="18" t="inlineStr">
        <is>
          <t>Critical</t>
        </is>
      </c>
      <c r="J7" s="18" t="inlineStr">
        <is>
          <t>Completed</t>
        </is>
      </c>
      <c r="K7" s="23" t="n">
        <v>46189</v>
      </c>
      <c r="L7" s="23" t="n">
        <v>46198</v>
      </c>
      <c r="M7" s="23" t="n">
        <v>46197</v>
      </c>
      <c r="N7" s="18" t="n">
        <v>16</v>
      </c>
      <c r="O7" s="19">
        <f>ROUND(SUMIFS(Tbl_TimeLog[Total Hours],Tbl_TimeLog[Task],B7),1)</f>
        <v/>
      </c>
      <c r="P7" s="26">
        <f>IF(J7="Completed",1,IF(OR(J7="Cancelled",N7=0),0,MIN(0.95,O7/N7)))</f>
        <v/>
      </c>
      <c r="Q7" s="18" t="inlineStr"/>
    </row>
    <row r="8">
      <c r="B8" s="18">
        <f>"TASK-"&amp;TEXT(SUBTOTAL(103,$K$4:K8),"0000")</f>
        <v/>
      </c>
      <c r="C8" s="18" t="inlineStr">
        <is>
          <t>Build interactive product tour</t>
        </is>
      </c>
      <c r="D8" s="18" t="inlineStr">
        <is>
          <t>Self-Serve Onboarding</t>
        </is>
      </c>
      <c r="E8" s="18">
        <f>IFERROR(INDEX(Tbl_Projects[Company],MATCH(D8,Tbl_Projects[Project Name],0)),"")</f>
        <v/>
      </c>
      <c r="F8" s="18" t="inlineStr">
        <is>
          <t>Engineering</t>
        </is>
      </c>
      <c r="G8" s="18" t="inlineStr">
        <is>
          <t>Ali Raza</t>
        </is>
      </c>
      <c r="H8" s="18" t="inlineStr">
        <is>
          <t>Feature</t>
        </is>
      </c>
      <c r="I8" s="18" t="inlineStr">
        <is>
          <t>High</t>
        </is>
      </c>
      <c r="J8" s="18" t="inlineStr">
        <is>
          <t>In Progress</t>
        </is>
      </c>
      <c r="K8" s="23" t="n">
        <v>46199</v>
      </c>
      <c r="L8" s="23" t="n">
        <v>46244</v>
      </c>
      <c r="M8" s="23" t="n"/>
      <c r="N8" s="18" t="n">
        <v>32</v>
      </c>
      <c r="O8" s="19">
        <f>ROUND(SUMIFS(Tbl_TimeLog[Total Hours],Tbl_TimeLog[Task],B8),1)</f>
        <v/>
      </c>
      <c r="P8" s="26">
        <f>IF(J8="Completed",1,IF(OR(J8="Cancelled",N8=0),0,MIN(0.95,O8/N8)))</f>
        <v/>
      </c>
      <c r="Q8" s="18" t="inlineStr"/>
    </row>
    <row r="9">
      <c r="B9" s="18">
        <f>"TASK-"&amp;TEXT(SUBTOTAL(103,$K$4:K9),"0000")</f>
        <v/>
      </c>
      <c r="C9" s="18" t="inlineStr">
        <is>
          <t>Write onboarding email sequence</t>
        </is>
      </c>
      <c r="D9" s="18" t="inlineStr">
        <is>
          <t>Self-Serve Onboarding</t>
        </is>
      </c>
      <c r="E9" s="18">
        <f>IFERROR(INDEX(Tbl_Projects[Company],MATCH(D9,Tbl_Projects[Project Name],0)),"")</f>
        <v/>
      </c>
      <c r="F9" s="18" t="inlineStr">
        <is>
          <t>Marketing</t>
        </is>
      </c>
      <c r="G9" s="18" t="inlineStr">
        <is>
          <t>Bilal Ahmed</t>
        </is>
      </c>
      <c r="H9" s="18" t="inlineStr">
        <is>
          <t>Content</t>
        </is>
      </c>
      <c r="I9" s="18" t="inlineStr">
        <is>
          <t>Medium</t>
        </is>
      </c>
      <c r="J9" s="18" t="inlineStr">
        <is>
          <t>In Review</t>
        </is>
      </c>
      <c r="K9" s="23" t="n">
        <v>46204</v>
      </c>
      <c r="L9" s="23" t="n">
        <v>46223</v>
      </c>
      <c r="M9" s="23" t="n"/>
      <c r="N9" s="18" t="n">
        <v>10</v>
      </c>
      <c r="O9" s="19">
        <f>ROUND(SUMIFS(Tbl_TimeLog[Total Hours],Tbl_TimeLog[Task],B9),1)</f>
        <v/>
      </c>
      <c r="P9" s="26">
        <f>IF(J9="Completed",1,IF(OR(J9="Cancelled",N9=0),0,MIN(0.95,O9/N9)))</f>
        <v/>
      </c>
      <c r="Q9" s="18" t="inlineStr"/>
    </row>
    <row r="10">
      <c r="B10" s="18">
        <f>"TASK-"&amp;TEXT(SUBTOTAL(103,$K$4:K10),"0000")</f>
        <v/>
      </c>
      <c r="C10" s="18" t="inlineStr">
        <is>
          <t>Draft security policy documents</t>
        </is>
      </c>
      <c r="D10" s="18" t="inlineStr">
        <is>
          <t>SOC 2 Prep</t>
        </is>
      </c>
      <c r="E10" s="18">
        <f>IFERROR(INDEX(Tbl_Projects[Company],MATCH(D10,Tbl_Projects[Project Name],0)),"")</f>
        <v/>
      </c>
      <c r="F10" s="18" t="inlineStr">
        <is>
          <t>Operations</t>
        </is>
      </c>
      <c r="G10" s="18" t="inlineStr">
        <is>
          <t>Humayra Shajahan</t>
        </is>
      </c>
      <c r="H10" s="18" t="inlineStr">
        <is>
          <t>Admin</t>
        </is>
      </c>
      <c r="I10" s="18" t="inlineStr">
        <is>
          <t>Medium</t>
        </is>
      </c>
      <c r="J10" s="18" t="inlineStr">
        <is>
          <t>Not Started</t>
        </is>
      </c>
      <c r="K10" s="23" t="n">
        <v>46266</v>
      </c>
      <c r="L10" s="23" t="n">
        <v>46295</v>
      </c>
      <c r="M10" s="23" t="n"/>
      <c r="N10" s="18" t="n">
        <v>20</v>
      </c>
      <c r="O10" s="19">
        <f>ROUND(SUMIFS(Tbl_TimeLog[Total Hours],Tbl_TimeLog[Task],B10),1)</f>
        <v/>
      </c>
      <c r="P10" s="26">
        <f>IF(J10="Completed",1,IF(OR(J10="Cancelled",N10=0),0,MIN(0.95,O10/N10)))</f>
        <v/>
      </c>
      <c r="Q10" s="18" t="inlineStr"/>
    </row>
    <row r="11">
      <c r="B11" s="18">
        <f>"TASK-"&amp;TEXT(SUBTOTAL(103,$K$4:K11),"0000")</f>
        <v/>
      </c>
      <c r="C11" s="18" t="inlineStr">
        <is>
          <t>Photograph winter collection lookbook</t>
        </is>
      </c>
      <c r="D11" s="18" t="inlineStr">
        <is>
          <t>Winter Collection Launch</t>
        </is>
      </c>
      <c r="E11" s="18">
        <f>IFERROR(INDEX(Tbl_Projects[Company],MATCH(D11,Tbl_Projects[Project Name],0)),"")</f>
        <v/>
      </c>
      <c r="F11" s="18" t="inlineStr">
        <is>
          <t>Marketing</t>
        </is>
      </c>
      <c r="G11" s="18" t="inlineStr">
        <is>
          <t>Bilal Ahmed</t>
        </is>
      </c>
      <c r="H11" s="18" t="inlineStr">
        <is>
          <t>Content</t>
        </is>
      </c>
      <c r="I11" s="18" t="inlineStr">
        <is>
          <t>High</t>
        </is>
      </c>
      <c r="J11" s="18" t="inlineStr">
        <is>
          <t>In Progress</t>
        </is>
      </c>
      <c r="K11" s="23" t="n">
        <v>46204</v>
      </c>
      <c r="L11" s="23" t="n">
        <v>46228</v>
      </c>
      <c r="M11" s="23" t="n"/>
      <c r="N11" s="18" t="n">
        <v>18</v>
      </c>
      <c r="O11" s="19">
        <f>ROUND(SUMIFS(Tbl_TimeLog[Total Hours],Tbl_TimeLog[Task],B11),1)</f>
        <v/>
      </c>
      <c r="P11" s="26">
        <f>IF(J11="Completed",1,IF(OR(J11="Cancelled",N11=0),0,MIN(0.95,O11/N11)))</f>
        <v/>
      </c>
      <c r="Q11" s="18" t="inlineStr"/>
    </row>
    <row r="12">
      <c r="B12" s="18">
        <f>"TASK-"&amp;TEXT(SUBTOTAL(103,$K$4:K12),"0000")</f>
        <v/>
      </c>
      <c r="C12" s="18" t="inlineStr">
        <is>
          <t>Negotiate supplier pricing for glaze materials</t>
        </is>
      </c>
      <c r="D12" s="18" t="inlineStr">
        <is>
          <t>Winter Collection Launch</t>
        </is>
      </c>
      <c r="E12" s="18">
        <f>IFERROR(INDEX(Tbl_Projects[Company],MATCH(D12,Tbl_Projects[Project Name],0)),"")</f>
        <v/>
      </c>
      <c r="F12" s="18" t="inlineStr">
        <is>
          <t>Operations</t>
        </is>
      </c>
      <c r="G12" s="18" t="inlineStr">
        <is>
          <t>Nadia Farooq</t>
        </is>
      </c>
      <c r="H12" s="18" t="inlineStr">
        <is>
          <t>Ops</t>
        </is>
      </c>
      <c r="I12" s="18" t="inlineStr">
        <is>
          <t>High</t>
        </is>
      </c>
      <c r="J12" s="18" t="inlineStr">
        <is>
          <t>In Progress</t>
        </is>
      </c>
      <c r="K12" s="23" t="n">
        <v>46193</v>
      </c>
      <c r="L12" s="23" t="n">
        <v>46233</v>
      </c>
      <c r="M12" s="23" t="n"/>
      <c r="N12" s="18" t="n">
        <v>12</v>
      </c>
      <c r="O12" s="19">
        <f>ROUND(SUMIFS(Tbl_TimeLog[Total Hours],Tbl_TimeLog[Task],B12),1)</f>
        <v/>
      </c>
      <c r="P12" s="26">
        <f>IF(J12="Completed",1,IF(OR(J12="Cancelled",N12=0),0,MIN(0.95,O12/N12)))</f>
        <v/>
      </c>
      <c r="Q12" s="18" t="inlineStr"/>
    </row>
    <row r="13">
      <c r="B13" s="18">
        <f>"TASK-"&amp;TEXT(SUBTOTAL(103,$K$4:K13),"0000")</f>
        <v/>
      </c>
      <c r="C13" s="18" t="inlineStr">
        <is>
          <t>Launch paid social campaign</t>
        </is>
      </c>
      <c r="D13" s="18" t="inlineStr">
        <is>
          <t>Winter Collection Launch</t>
        </is>
      </c>
      <c r="E13" s="18">
        <f>IFERROR(INDEX(Tbl_Projects[Company],MATCH(D13,Tbl_Projects[Project Name],0)),"")</f>
        <v/>
      </c>
      <c r="F13" s="18" t="inlineStr">
        <is>
          <t>Marketing</t>
        </is>
      </c>
      <c r="G13" s="18" t="inlineStr">
        <is>
          <t>Bilal Ahmed</t>
        </is>
      </c>
      <c r="H13" s="18" t="inlineStr">
        <is>
          <t>Ops</t>
        </is>
      </c>
      <c r="I13" s="18" t="inlineStr">
        <is>
          <t>Critical</t>
        </is>
      </c>
      <c r="J13" s="18" t="inlineStr">
        <is>
          <t>Not Started</t>
        </is>
      </c>
      <c r="K13" s="23" t="n">
        <v>46249</v>
      </c>
      <c r="L13" s="23" t="n">
        <v>46280</v>
      </c>
      <c r="M13" s="23" t="n"/>
      <c r="N13" s="18" t="n">
        <v>20</v>
      </c>
      <c r="O13" s="19">
        <f>ROUND(SUMIFS(Tbl_TimeLog[Total Hours],Tbl_TimeLog[Task],B13),1)</f>
        <v/>
      </c>
      <c r="P13" s="26">
        <f>IF(J13="Completed",1,IF(OR(J13="Cancelled",N13=0),0,MIN(0.95,O13/N13)))</f>
        <v/>
      </c>
      <c r="Q13" s="18" t="inlineStr"/>
    </row>
    <row r="14">
      <c r="B14" s="18">
        <f>"TASK-"&amp;TEXT(SUBTOTAL(103,$K$4:K14),"0000")</f>
        <v/>
      </c>
      <c r="C14" s="18" t="inlineStr">
        <is>
          <t>Map current pick/pack workflow</t>
        </is>
      </c>
      <c r="D14" s="18" t="inlineStr">
        <is>
          <t>Warehouse Automation</t>
        </is>
      </c>
      <c r="E14" s="18">
        <f>IFERROR(INDEX(Tbl_Projects[Company],MATCH(D14,Tbl_Projects[Project Name],0)),"")</f>
        <v/>
      </c>
      <c r="F14" s="18" t="inlineStr">
        <is>
          <t>Operations</t>
        </is>
      </c>
      <c r="G14" s="18" t="inlineStr">
        <is>
          <t>Nadia Farooq</t>
        </is>
      </c>
      <c r="H14" s="18" t="inlineStr">
        <is>
          <t>Research</t>
        </is>
      </c>
      <c r="I14" s="18" t="inlineStr">
        <is>
          <t>Medium</t>
        </is>
      </c>
      <c r="J14" s="18" t="inlineStr">
        <is>
          <t>Completed</t>
        </is>
      </c>
      <c r="K14" s="23" t="n">
        <v>46204</v>
      </c>
      <c r="L14" s="23" t="n">
        <v>46213</v>
      </c>
      <c r="M14" s="23" t="n">
        <v>46212</v>
      </c>
      <c r="N14" s="18" t="n">
        <v>14</v>
      </c>
      <c r="O14" s="19">
        <f>ROUND(SUMIFS(Tbl_TimeLog[Total Hours],Tbl_TimeLog[Task],B14),1)</f>
        <v/>
      </c>
      <c r="P14" s="26">
        <f>IF(J14="Completed",1,IF(OR(J14="Cancelled",N14=0),0,MIN(0.95,O14/N14)))</f>
        <v/>
      </c>
      <c r="Q14" s="18" t="inlineStr"/>
    </row>
    <row r="15">
      <c r="B15" s="18">
        <f>"TASK-"&amp;TEXT(SUBTOTAL(103,$K$4:K15),"0000")</f>
        <v/>
      </c>
      <c r="C15" s="18" t="inlineStr">
        <is>
          <t>Evaluate 3 warehouse automation vendors</t>
        </is>
      </c>
      <c r="D15" s="18" t="inlineStr">
        <is>
          <t>Warehouse Automation</t>
        </is>
      </c>
      <c r="E15" s="18">
        <f>IFERROR(INDEX(Tbl_Projects[Company],MATCH(D15,Tbl_Projects[Project Name],0)),"")</f>
        <v/>
      </c>
      <c r="F15" s="18" t="inlineStr">
        <is>
          <t>Operations</t>
        </is>
      </c>
      <c r="G15" s="18" t="inlineStr">
        <is>
          <t>Nadia Farooq</t>
        </is>
      </c>
      <c r="H15" s="18" t="inlineStr">
        <is>
          <t>Research</t>
        </is>
      </c>
      <c r="I15" s="18" t="inlineStr">
        <is>
          <t>Medium</t>
        </is>
      </c>
      <c r="J15" s="18" t="inlineStr">
        <is>
          <t>In Progress</t>
        </is>
      </c>
      <c r="K15" s="23" t="n">
        <v>46214</v>
      </c>
      <c r="L15" s="23" t="n">
        <v>46239</v>
      </c>
      <c r="M15" s="23" t="n"/>
      <c r="N15" s="18" t="n">
        <v>18</v>
      </c>
      <c r="O15" s="19">
        <f>ROUND(SUMIFS(Tbl_TimeLog[Total Hours],Tbl_TimeLog[Task],B15),1)</f>
        <v/>
      </c>
      <c r="P15" s="26">
        <f>IF(J15="Completed",1,IF(OR(J15="Cancelled",N15=0),0,MIN(0.95,O15/N15)))</f>
        <v/>
      </c>
      <c r="Q15" s="18" t="inlineStr"/>
    </row>
    <row r="16">
      <c r="B16" s="18">
        <f>"TASK-"&amp;TEXT(SUBTOTAL(103,$K$4:K16),"0000")</f>
        <v/>
      </c>
      <c r="C16" s="18" t="inlineStr">
        <is>
          <t>Build tutor profile + search UI</t>
        </is>
      </c>
      <c r="D16" s="18" t="inlineStr">
        <is>
          <t>MVP Marketplace Build</t>
        </is>
      </c>
      <c r="E16" s="18">
        <f>IFERROR(INDEX(Tbl_Projects[Company],MATCH(D16,Tbl_Projects[Project Name],0)),"")</f>
        <v/>
      </c>
      <c r="F16" s="18" t="inlineStr">
        <is>
          <t>Engineering</t>
        </is>
      </c>
      <c r="G16" s="18" t="inlineStr">
        <is>
          <t>Omar Siddiqui</t>
        </is>
      </c>
      <c r="H16" s="18" t="inlineStr">
        <is>
          <t>Feature</t>
        </is>
      </c>
      <c r="I16" s="18" t="inlineStr">
        <is>
          <t>Critical</t>
        </is>
      </c>
      <c r="J16" s="18" t="inlineStr">
        <is>
          <t>In Progress</t>
        </is>
      </c>
      <c r="K16" s="23" t="n">
        <v>46174</v>
      </c>
      <c r="L16" s="23" t="n">
        <v>46223</v>
      </c>
      <c r="M16" s="23" t="n"/>
      <c r="N16" s="18" t="n">
        <v>60</v>
      </c>
      <c r="O16" s="19">
        <f>ROUND(SUMIFS(Tbl_TimeLog[Total Hours],Tbl_TimeLog[Task],B16),1)</f>
        <v/>
      </c>
      <c r="P16" s="26">
        <f>IF(J16="Completed",1,IF(OR(J16="Cancelled",N16=0),0,MIN(0.95,O16/N16)))</f>
        <v/>
      </c>
      <c r="Q16" s="18" t="inlineStr"/>
    </row>
    <row r="17">
      <c r="B17" s="18">
        <f>"TASK-"&amp;TEXT(SUBTOTAL(103,$K$4:K17),"0000")</f>
        <v/>
      </c>
      <c r="C17" s="18" t="inlineStr">
        <is>
          <t>Implement booking + payments flow</t>
        </is>
      </c>
      <c r="D17" s="18" t="inlineStr">
        <is>
          <t>MVP Marketplace Build</t>
        </is>
      </c>
      <c r="E17" s="18">
        <f>IFERROR(INDEX(Tbl_Projects[Company],MATCH(D17,Tbl_Projects[Project Name],0)),"")</f>
        <v/>
      </c>
      <c r="F17" s="18" t="inlineStr">
        <is>
          <t>Engineering</t>
        </is>
      </c>
      <c r="G17" s="18" t="inlineStr">
        <is>
          <t>Omar Siddiqui</t>
        </is>
      </c>
      <c r="H17" s="18" t="inlineStr">
        <is>
          <t>Feature</t>
        </is>
      </c>
      <c r="I17" s="18" t="inlineStr">
        <is>
          <t>Critical</t>
        </is>
      </c>
      <c r="J17" s="18" t="inlineStr">
        <is>
          <t>Not Started</t>
        </is>
      </c>
      <c r="K17" s="23" t="n">
        <v>46224</v>
      </c>
      <c r="L17" s="23" t="n">
        <v>46266</v>
      </c>
      <c r="M17" s="23" t="n"/>
      <c r="N17" s="18" t="n">
        <v>80</v>
      </c>
      <c r="O17" s="19">
        <f>ROUND(SUMIFS(Tbl_TimeLog[Total Hours],Tbl_TimeLog[Task],B17),1)</f>
        <v/>
      </c>
      <c r="P17" s="26">
        <f>IF(J17="Completed",1,IF(OR(J17="Cancelled",N17=0),0,MIN(0.95,O17/N17)))</f>
        <v/>
      </c>
      <c r="Q17" s="18" t="inlineStr"/>
    </row>
    <row r="18">
      <c r="B18" s="18">
        <f>"TASK-"&amp;TEXT(SUBTOTAL(103,$K$4:K18),"0000")</f>
        <v/>
      </c>
      <c r="C18" s="18" t="inlineStr">
        <is>
          <t>Set up automated background checks</t>
        </is>
      </c>
      <c r="D18" s="18" t="inlineStr">
        <is>
          <t>MVP Marketplace Build</t>
        </is>
      </c>
      <c r="E18" s="18">
        <f>IFERROR(INDEX(Tbl_Projects[Company],MATCH(D18,Tbl_Projects[Project Name],0)),"")</f>
        <v/>
      </c>
      <c r="F18" s="18" t="inlineStr">
        <is>
          <t>Operations</t>
        </is>
      </c>
      <c r="G18" s="18" t="inlineStr">
        <is>
          <t>Omar Siddiqui</t>
        </is>
      </c>
      <c r="H18" s="18" t="inlineStr">
        <is>
          <t>Ops</t>
        </is>
      </c>
      <c r="I18" s="18" t="inlineStr">
        <is>
          <t>High</t>
        </is>
      </c>
      <c r="J18" s="18" t="inlineStr">
        <is>
          <t>Not Started</t>
        </is>
      </c>
      <c r="K18" s="23" t="n">
        <v>46235</v>
      </c>
      <c r="L18" s="23" t="n">
        <v>46275</v>
      </c>
      <c r="M18" s="23" t="n"/>
      <c r="N18" s="18" t="n">
        <v>16</v>
      </c>
      <c r="O18" s="19">
        <f>ROUND(SUMIFS(Tbl_TimeLog[Total Hours],Tbl_TimeLog[Task],B18),1)</f>
        <v/>
      </c>
      <c r="P18" s="26">
        <f>IF(J18="Completed",1,IF(OR(J18="Cancelled",N18=0),0,MIN(0.95,O18/N18)))</f>
        <v/>
      </c>
      <c r="Q18" s="18" t="inlineStr"/>
    </row>
    <row r="19">
      <c r="B19" s="18">
        <f>"TASK-"&amp;TEXT(SUBTOTAL(103,$K$4:K19),"0000")</f>
        <v/>
      </c>
      <c r="C19" s="18" t="inlineStr">
        <is>
          <t>Interview 15 parents on tutoring pain points</t>
        </is>
      </c>
      <c r="D19" s="18" t="inlineStr">
        <is>
          <t>Market Validation Interviews</t>
        </is>
      </c>
      <c r="E19" s="18">
        <f>IFERROR(INDEX(Tbl_Projects[Company],MATCH(D19,Tbl_Projects[Project Name],0)),"")</f>
        <v/>
      </c>
      <c r="F19" s="18" t="inlineStr">
        <is>
          <t>Product</t>
        </is>
      </c>
      <c r="G19" s="18" t="inlineStr">
        <is>
          <t>Humayra Shajahan</t>
        </is>
      </c>
      <c r="H19" s="18" t="inlineStr">
        <is>
          <t>Research</t>
        </is>
      </c>
      <c r="I19" s="18" t="inlineStr">
        <is>
          <t>High</t>
        </is>
      </c>
      <c r="J19" s="18" t="inlineStr">
        <is>
          <t>Completed</t>
        </is>
      </c>
      <c r="K19" s="23" t="n">
        <v>46143</v>
      </c>
      <c r="L19" s="23" t="n">
        <v>46174</v>
      </c>
      <c r="M19" s="23" t="n">
        <v>46172</v>
      </c>
      <c r="N19" s="18" t="n">
        <v>20</v>
      </c>
      <c r="O19" s="19">
        <f>ROUND(SUMIFS(Tbl_TimeLog[Total Hours],Tbl_TimeLog[Task],B19),1)</f>
        <v/>
      </c>
      <c r="P19" s="26">
        <f>IF(J19="Completed",1,IF(OR(J19="Cancelled",N19=0),0,MIN(0.95,O19/N19)))</f>
        <v/>
      </c>
      <c r="Q19" s="18" t="inlineStr"/>
    </row>
    <row r="20">
      <c r="B20" s="18">
        <f>"TASK-"&amp;TEXT(SUBTOTAL(103,$K$4:K20),"0000")</f>
        <v/>
      </c>
      <c r="C20" s="18" t="inlineStr">
        <is>
          <t>Interview 15 tutors on marketplace expectations</t>
        </is>
      </c>
      <c r="D20" s="18" t="inlineStr">
        <is>
          <t>Market Validation Interviews</t>
        </is>
      </c>
      <c r="E20" s="18">
        <f>IFERROR(INDEX(Tbl_Projects[Company],MATCH(D20,Tbl_Projects[Project Name],0)),"")</f>
        <v/>
      </c>
      <c r="F20" s="18" t="inlineStr">
        <is>
          <t>Product</t>
        </is>
      </c>
      <c r="G20" s="18" t="inlineStr">
        <is>
          <t>Humayra Shajahan</t>
        </is>
      </c>
      <c r="H20" s="18" t="inlineStr">
        <is>
          <t>Research</t>
        </is>
      </c>
      <c r="I20" s="18" t="inlineStr">
        <is>
          <t>High</t>
        </is>
      </c>
      <c r="J20" s="18" t="inlineStr">
        <is>
          <t>In Review</t>
        </is>
      </c>
      <c r="K20" s="23" t="n">
        <v>46175</v>
      </c>
      <c r="L20" s="23" t="n">
        <v>46218</v>
      </c>
      <c r="M20" s="23" t="n"/>
      <c r="N20" s="18" t="n">
        <v>20</v>
      </c>
      <c r="O20" s="19">
        <f>ROUND(SUMIFS(Tbl_TimeLog[Total Hours],Tbl_TimeLog[Task],B20),1)</f>
        <v/>
      </c>
      <c r="P20" s="26">
        <f>IF(J20="Completed",1,IF(OR(J20="Cancelled",N20=0),0,MIN(0.95,O20/N20)))</f>
        <v/>
      </c>
      <c r="Q20" s="18" t="inlineStr"/>
    </row>
  </sheetData>
  <conditionalFormatting sqref="J4:J5000">
    <cfRule type="expression" priority="1" dxfId="2">
      <formula>EXACT(J4,"Not Started")</formula>
    </cfRule>
    <cfRule type="expression" priority="2" dxfId="3">
      <formula>EXACT(J4,"In Progress")</formula>
    </cfRule>
    <cfRule type="expression" priority="3" dxfId="4">
      <formula>EXACT(J4,"Blocked")</formula>
    </cfRule>
    <cfRule type="expression" priority="4" dxfId="5">
      <formula>EXACT(J4,"In Review")</formula>
    </cfRule>
    <cfRule type="expression" priority="5" dxfId="0">
      <formula>EXACT(J4,"Completed")</formula>
    </cfRule>
    <cfRule type="expression" priority="6" dxfId="2">
      <formula>EXACT(J4,"Cancelled")</formula>
    </cfRule>
    <cfRule type="expression" priority="7" dxfId="1">
      <formula>EXACT(J4,"On Hold")</formula>
    </cfRule>
  </conditionalFormatting>
  <conditionalFormatting sqref="I4:I5000">
    <cfRule type="expression" priority="8" dxfId="4">
      <formula>EXACT(I4,"Critical")</formula>
    </cfRule>
    <cfRule type="expression" priority="9" dxfId="1">
      <formula>EXACT(I4,"High")</formula>
    </cfRule>
    <cfRule type="expression" priority="10" dxfId="3">
      <formula>EXACT(I4,"Medium")</formula>
    </cfRule>
    <cfRule type="expression" priority="11" dxfId="2">
      <formula>EXACT(I4,"Low")</formula>
    </cfRule>
  </conditionalFormatting>
  <conditionalFormatting sqref="P4:P5000">
    <cfRule type="dataBar" priority="12">
      <dataBar showValue="1">
        <cfvo type="num" val="0"/>
        <cfvo type="num" val="100"/>
        <color rgb="00D97706"/>
      </dataBar>
    </cfRule>
  </conditionalFormatting>
  <conditionalFormatting sqref="B4:Q5000">
    <cfRule type="expression" priority="13" dxfId="6">
      <formula>AND($L4&lt;TODAY(),$J4&lt;&gt;"Completed",$J4&lt;&gt;"Cancelled",$L4&lt;&gt;"")</formula>
    </cfRule>
  </conditionalFormatting>
  <dataValidations count="6">
    <dataValidation sqref="D4:D5000" showDropDown="0" showInputMessage="0" showErrorMessage="0" allowBlank="1" errorTitle="Invalid entry" error="Please choose a value from the dropdown list." type="list">
      <formula1>=List_ProjectNames</formula1>
    </dataValidation>
    <dataValidation sqref="F4:F5000" showDropDown="0" showInputMessage="0" showErrorMessage="0" allowBlank="1" errorTitle="Invalid entry" error="Please choose a value from the dropdown list." type="list">
      <formula1>=List_Departments</formula1>
    </dataValidation>
    <dataValidation sqref="G4:G5000" showDropDown="0" showInputMessage="0" showErrorMessage="0" allowBlank="1" errorTitle="Invalid entry" error="Please choose a value from the dropdown list." type="list">
      <formula1>=List_EmployeeNames</formula1>
    </dataValidation>
    <dataValidation sqref="H4:H5000" showDropDown="0" showInputMessage="0" showErrorMessage="0" allowBlank="1" errorTitle="Invalid entry" error="Please choose a value from the dropdown list." type="list">
      <formula1>=List_TaskTypes</formula1>
    </dataValidation>
    <dataValidation sqref="I4:I5000" showDropDown="0" showInputMessage="0" showErrorMessage="0" allowBlank="1" errorTitle="Invalid entry" error="Please choose a value from the dropdown list." type="list">
      <formula1>=List_Priority</formula1>
    </dataValidation>
    <dataValidation sqref="J4:J5000" showDropDown="0" showInputMessage="0" showErrorMessage="0" allowBlank="1" errorTitle="Invalid entry" error="Please choose a value from the dropdown list." type="list">
      <formula1>=List_Statuses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DB2777"/>
    <outlinePr summaryBelow="1" summaryRight="1"/>
    <pageSetUpPr/>
  </sheetPr>
  <dimension ref="B1:O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30" customWidth="1" min="4" max="4"/>
    <col width="22" customWidth="1" min="5" max="5"/>
    <col width="18" customWidth="1" min="6" max="6"/>
    <col width="18" customWidth="1" min="7" max="7"/>
    <col width="12" customWidth="1" min="8" max="8"/>
    <col width="11" customWidth="1" min="9" max="9"/>
    <col width="11" customWidth="1" min="10" max="10"/>
    <col width="11" customWidth="1" min="11" max="11"/>
    <col width="12" customWidth="1" min="12" max="12"/>
    <col width="10" customWidth="1" min="13" max="13"/>
    <col width="14" customWidth="1" min="14" max="14"/>
    <col width="26" customWidth="1" min="15" max="15"/>
  </cols>
  <sheetData>
    <row r="1" ht="24" customHeight="1">
      <c r="B1" s="20" t="inlineStr">
        <is>
          <t>⏱️  Time Log</t>
        </is>
      </c>
    </row>
    <row r="2">
      <c r="B2" s="3" t="inlineStr">
        <is>
          <t>One row per work session. Task Name/Project/Company auto-fill from the selected Task.</t>
        </is>
      </c>
    </row>
    <row r="3" ht="32" customHeight="1">
      <c r="B3" s="28" t="inlineStr">
        <is>
          <t>Log ID</t>
        </is>
      </c>
      <c r="C3" s="28" t="inlineStr">
        <is>
          <t>Task</t>
        </is>
      </c>
      <c r="D3" s="28" t="inlineStr">
        <is>
          <t>Task Name</t>
        </is>
      </c>
      <c r="E3" s="28" t="inlineStr">
        <is>
          <t>Project</t>
        </is>
      </c>
      <c r="F3" s="28" t="inlineStr">
        <is>
          <t>Company</t>
        </is>
      </c>
      <c r="G3" s="28" t="inlineStr">
        <is>
          <t>Employee</t>
        </is>
      </c>
      <c r="H3" s="28" t="inlineStr">
        <is>
          <t>Date</t>
        </is>
      </c>
      <c r="I3" s="28" t="inlineStr">
        <is>
          <t>Start Time</t>
        </is>
      </c>
      <c r="J3" s="28" t="inlineStr">
        <is>
          <t>End Time</t>
        </is>
      </c>
      <c r="K3" s="28" t="inlineStr">
        <is>
          <t>Break (min)</t>
        </is>
      </c>
      <c r="L3" s="28" t="inlineStr">
        <is>
          <t>Total Hours</t>
        </is>
      </c>
      <c r="M3" s="28" t="inlineStr">
        <is>
          <t>Billable</t>
        </is>
      </c>
      <c r="N3" s="28" t="inlineStr">
        <is>
          <t>Category</t>
        </is>
      </c>
      <c r="O3" s="28" t="inlineStr">
        <is>
          <t>Notes</t>
        </is>
      </c>
    </row>
    <row r="4">
      <c r="B4" s="18">
        <f>"TL-"&amp;TEXT(SUBTOTAL(103,$H$4:H4),"0000")</f>
        <v/>
      </c>
      <c r="C4" s="18" t="inlineStr">
        <is>
          <t>TASK-0001</t>
        </is>
      </c>
      <c r="D4" s="18">
        <f>IFERROR(INDEX(Tbl_Tasks[Task Name],MATCH(C4,Tbl_Tasks[Task ID],0)),"")</f>
        <v/>
      </c>
      <c r="E4" s="18">
        <f>IFERROR(INDEX(Tbl_Tasks[Project],MATCH(C4,Tbl_Tasks[Task ID],0)),"")</f>
        <v/>
      </c>
      <c r="F4" s="18">
        <f>IFERROR(INDEX(Tbl_Tasks[Company],MATCH(C4,Tbl_Tasks[Task ID],0)),"")</f>
        <v/>
      </c>
      <c r="G4" s="18" t="inlineStr">
        <is>
          <t>Ali Raza</t>
        </is>
      </c>
      <c r="H4" s="23" t="n">
        <v>46223</v>
      </c>
      <c r="I4" s="29" t="n">
        <v>0.375</v>
      </c>
      <c r="J4" s="29" t="n">
        <v>0.5208333333333334</v>
      </c>
      <c r="K4" s="18" t="n">
        <v>15</v>
      </c>
      <c r="L4" s="30">
        <f>ROUND(MAX(0,((J4-I4)*24)-(K4/60)),2)</f>
        <v/>
      </c>
      <c r="M4" s="18" t="inlineStr">
        <is>
          <t>Yes</t>
        </is>
      </c>
      <c r="N4" s="18" t="inlineStr">
        <is>
          <t>Deep Work</t>
        </is>
      </c>
      <c r="O4" s="18" t="inlineStr">
        <is>
          <t>Query layer refactor</t>
        </is>
      </c>
    </row>
    <row r="5">
      <c r="B5" s="18">
        <f>"TL-"&amp;TEXT(SUBTOTAL(103,$H$4:H5),"0000")</f>
        <v/>
      </c>
      <c r="C5" s="18" t="inlineStr">
        <is>
          <t>TASK-0001</t>
        </is>
      </c>
      <c r="D5" s="18">
        <f>IFERROR(INDEX(Tbl_Tasks[Task Name],MATCH(C5,Tbl_Tasks[Task ID],0)),"")</f>
        <v/>
      </c>
      <c r="E5" s="18">
        <f>IFERROR(INDEX(Tbl_Tasks[Project],MATCH(C5,Tbl_Tasks[Task ID],0)),"")</f>
        <v/>
      </c>
      <c r="F5" s="18">
        <f>IFERROR(INDEX(Tbl_Tasks[Company],MATCH(C5,Tbl_Tasks[Task ID],0)),"")</f>
        <v/>
      </c>
      <c r="G5" s="18" t="inlineStr">
        <is>
          <t>Ali Raza</t>
        </is>
      </c>
      <c r="H5" s="23" t="n">
        <v>46224</v>
      </c>
      <c r="I5" s="29" t="n">
        <v>0.3854166666666667</v>
      </c>
      <c r="J5" s="29" t="n">
        <v>0.5416666666666666</v>
      </c>
      <c r="K5" s="18" t="n">
        <v>15</v>
      </c>
      <c r="L5" s="30">
        <f>ROUND(MAX(0,((J5-I5)*24)-(K5/60)),2)</f>
        <v/>
      </c>
      <c r="M5" s="18" t="inlineStr">
        <is>
          <t>Yes</t>
        </is>
      </c>
      <c r="N5" s="18" t="inlineStr">
        <is>
          <t>Deep Work</t>
        </is>
      </c>
      <c r="O5" s="18" t="inlineStr">
        <is>
          <t>Partition testing</t>
        </is>
      </c>
    </row>
    <row r="6">
      <c r="B6" s="18">
        <f>"TL-"&amp;TEXT(SUBTOTAL(103,$H$4:H6),"0000")</f>
        <v/>
      </c>
      <c r="C6" s="18" t="inlineStr">
        <is>
          <t>TASK-0002</t>
        </is>
      </c>
      <c r="D6" s="18">
        <f>IFERROR(INDEX(Tbl_Tasks[Task Name],MATCH(C6,Tbl_Tasks[Task ID],0)),"")</f>
        <v/>
      </c>
      <c r="E6" s="18">
        <f>IFERROR(INDEX(Tbl_Tasks[Project],MATCH(C6,Tbl_Tasks[Task ID],0)),"")</f>
        <v/>
      </c>
      <c r="F6" s="18">
        <f>IFERROR(INDEX(Tbl_Tasks[Company],MATCH(C6,Tbl_Tasks[Task ID],0)),"")</f>
        <v/>
      </c>
      <c r="G6" s="18" t="inlineStr">
        <is>
          <t>Ali Raza</t>
        </is>
      </c>
      <c r="H6" s="23" t="n">
        <v>46225</v>
      </c>
      <c r="I6" s="29" t="n">
        <v>0.4166666666666667</v>
      </c>
      <c r="J6" s="29" t="n">
        <v>0.5</v>
      </c>
      <c r="K6" s="18" t="n">
        <v>0</v>
      </c>
      <c r="L6" s="30">
        <f>ROUND(MAX(0,((J6-I6)*24)-(K6/60)),2)</f>
        <v/>
      </c>
      <c r="M6" s="18" t="inlineStr">
        <is>
          <t>Yes</t>
        </is>
      </c>
      <c r="N6" s="18" t="inlineStr">
        <is>
          <t>Deep Work</t>
        </is>
      </c>
      <c r="O6" s="18" t="inlineStr">
        <is>
          <t>Cache design spike</t>
        </is>
      </c>
    </row>
    <row r="7">
      <c r="B7" s="18">
        <f>"TL-"&amp;TEXT(SUBTOTAL(103,$H$4:H7),"0000")</f>
        <v/>
      </c>
      <c r="C7" s="18" t="inlineStr">
        <is>
          <t>TASK-0003</t>
        </is>
      </c>
      <c r="D7" s="18">
        <f>IFERROR(INDEX(Tbl_Tasks[Task Name],MATCH(C7,Tbl_Tasks[Task ID],0)),"")</f>
        <v/>
      </c>
      <c r="E7" s="18">
        <f>IFERROR(INDEX(Tbl_Tasks[Project],MATCH(C7,Tbl_Tasks[Task ID],0)),"")</f>
        <v/>
      </c>
      <c r="F7" s="18">
        <f>IFERROR(INDEX(Tbl_Tasks[Company],MATCH(C7,Tbl_Tasks[Task ID],0)),"")</f>
        <v/>
      </c>
      <c r="G7" s="18" t="inlineStr">
        <is>
          <t>Ali Raza</t>
        </is>
      </c>
      <c r="H7" s="23" t="n">
        <v>46159</v>
      </c>
      <c r="I7" s="29" t="n">
        <v>0.5833333333333334</v>
      </c>
      <c r="J7" s="29" t="n">
        <v>0.75</v>
      </c>
      <c r="K7" s="18" t="n">
        <v>15</v>
      </c>
      <c r="L7" s="30">
        <f>ROUND(MAX(0,((J7-I7)*24)-(K7/60)),2)</f>
        <v/>
      </c>
      <c r="M7" s="18" t="inlineStr">
        <is>
          <t>Yes</t>
        </is>
      </c>
      <c r="N7" s="18" t="inlineStr">
        <is>
          <t>Deep Work</t>
        </is>
      </c>
      <c r="O7" s="18" t="inlineStr">
        <is>
          <t>Safari bug repro + fix</t>
        </is>
      </c>
    </row>
    <row r="8">
      <c r="B8" s="18">
        <f>"TL-"&amp;TEXT(SUBTOTAL(103,$H$4:H8),"0000")</f>
        <v/>
      </c>
      <c r="C8" s="18" t="inlineStr">
        <is>
          <t>TASK-0004</t>
        </is>
      </c>
      <c r="D8" s="18">
        <f>IFERROR(INDEX(Tbl_Tasks[Task Name],MATCH(C8,Tbl_Tasks[Task ID],0)),"")</f>
        <v/>
      </c>
      <c r="E8" s="18">
        <f>IFERROR(INDEX(Tbl_Tasks[Project],MATCH(C8,Tbl_Tasks[Task ID],0)),"")</f>
        <v/>
      </c>
      <c r="F8" s="18">
        <f>IFERROR(INDEX(Tbl_Tasks[Company],MATCH(C8,Tbl_Tasks[Task ID],0)),"")</f>
        <v/>
      </c>
      <c r="G8" s="18" t="inlineStr">
        <is>
          <t>Sara Khan</t>
        </is>
      </c>
      <c r="H8" s="23" t="n">
        <v>46191</v>
      </c>
      <c r="I8" s="29" t="n">
        <v>0.375</v>
      </c>
      <c r="J8" s="29" t="n">
        <v>0.5416666666666666</v>
      </c>
      <c r="K8" s="18" t="n">
        <v>15</v>
      </c>
      <c r="L8" s="30">
        <f>ROUND(MAX(0,((J8-I8)*24)-(K8/60)),2)</f>
        <v/>
      </c>
      <c r="M8" s="18" t="inlineStr">
        <is>
          <t>Yes</t>
        </is>
      </c>
      <c r="N8" s="18" t="inlineStr">
        <is>
          <t>Deep Work</t>
        </is>
      </c>
      <c r="O8" s="18" t="inlineStr">
        <is>
          <t>Wireframes v1</t>
        </is>
      </c>
    </row>
    <row r="9">
      <c r="B9" s="18">
        <f>"TL-"&amp;TEXT(SUBTOTAL(103,$H$4:H9),"0000")</f>
        <v/>
      </c>
      <c r="C9" s="18" t="inlineStr">
        <is>
          <t>TASK-0004</t>
        </is>
      </c>
      <c r="D9" s="18">
        <f>IFERROR(INDEX(Tbl_Tasks[Task Name],MATCH(C9,Tbl_Tasks[Task ID],0)),"")</f>
        <v/>
      </c>
      <c r="E9" s="18">
        <f>IFERROR(INDEX(Tbl_Tasks[Project],MATCH(C9,Tbl_Tasks[Task ID],0)),"")</f>
        <v/>
      </c>
      <c r="F9" s="18">
        <f>IFERROR(INDEX(Tbl_Tasks[Company],MATCH(C9,Tbl_Tasks[Task ID],0)),"")</f>
        <v/>
      </c>
      <c r="G9" s="18" t="inlineStr">
        <is>
          <t>Sara Khan</t>
        </is>
      </c>
      <c r="H9" s="23" t="n">
        <v>46193</v>
      </c>
      <c r="I9" s="29" t="n">
        <v>0.375</v>
      </c>
      <c r="J9" s="29" t="n">
        <v>0.5</v>
      </c>
      <c r="K9" s="18" t="n">
        <v>0</v>
      </c>
      <c r="L9" s="30">
        <f>ROUND(MAX(0,((J9-I9)*24)-(K9/60)),2)</f>
        <v/>
      </c>
      <c r="M9" s="18" t="inlineStr">
        <is>
          <t>Yes</t>
        </is>
      </c>
      <c r="N9" s="18" t="inlineStr">
        <is>
          <t>Deep Work</t>
        </is>
      </c>
      <c r="O9" s="18" t="inlineStr">
        <is>
          <t>Wireframes v2 + review</t>
        </is>
      </c>
    </row>
    <row r="10">
      <c r="B10" s="18">
        <f>"TL-"&amp;TEXT(SUBTOTAL(103,$H$4:H10),"0000")</f>
        <v/>
      </c>
      <c r="C10" s="18" t="inlineStr">
        <is>
          <t>TASK-0005</t>
        </is>
      </c>
      <c r="D10" s="18">
        <f>IFERROR(INDEX(Tbl_Tasks[Task Name],MATCH(C10,Tbl_Tasks[Task ID],0)),"")</f>
        <v/>
      </c>
      <c r="E10" s="18">
        <f>IFERROR(INDEX(Tbl_Tasks[Project],MATCH(C10,Tbl_Tasks[Task ID],0)),"")</f>
        <v/>
      </c>
      <c r="F10" s="18">
        <f>IFERROR(INDEX(Tbl_Tasks[Company],MATCH(C10,Tbl_Tasks[Task ID],0)),"")</f>
        <v/>
      </c>
      <c r="G10" s="18" t="inlineStr">
        <is>
          <t>Ali Raza</t>
        </is>
      </c>
      <c r="H10" s="23" t="n">
        <v>46227</v>
      </c>
      <c r="I10" s="29" t="n">
        <v>0.375</v>
      </c>
      <c r="J10" s="29" t="n">
        <v>0.5</v>
      </c>
      <c r="K10" s="18" t="n">
        <v>0</v>
      </c>
      <c r="L10" s="30">
        <f>ROUND(MAX(0,((J10-I10)*24)-(K10/60)),2)</f>
        <v/>
      </c>
      <c r="M10" s="18" t="inlineStr">
        <is>
          <t>Yes</t>
        </is>
      </c>
      <c r="N10" s="18" t="inlineStr">
        <is>
          <t>Deep Work</t>
        </is>
      </c>
      <c r="O10" s="18" t="inlineStr">
        <is>
          <t>Product tour scaffolding</t>
        </is>
      </c>
    </row>
    <row r="11">
      <c r="B11" s="18">
        <f>"TL-"&amp;TEXT(SUBTOTAL(103,$H$4:H11),"0000")</f>
        <v/>
      </c>
      <c r="C11" s="18" t="inlineStr">
        <is>
          <t>TASK-0006</t>
        </is>
      </c>
      <c r="D11" s="18">
        <f>IFERROR(INDEX(Tbl_Tasks[Task Name],MATCH(C11,Tbl_Tasks[Task ID],0)),"")</f>
        <v/>
      </c>
      <c r="E11" s="18">
        <f>IFERROR(INDEX(Tbl_Tasks[Project],MATCH(C11,Tbl_Tasks[Task ID],0)),"")</f>
        <v/>
      </c>
      <c r="F11" s="18">
        <f>IFERROR(INDEX(Tbl_Tasks[Company],MATCH(C11,Tbl_Tasks[Task ID],0)),"")</f>
        <v/>
      </c>
      <c r="G11" s="18" t="inlineStr">
        <is>
          <t>Bilal Ahmed</t>
        </is>
      </c>
      <c r="H11" s="23" t="n">
        <v>46213</v>
      </c>
      <c r="I11" s="29" t="n">
        <v>0.4166666666666667</v>
      </c>
      <c r="J11" s="29" t="n">
        <v>0.5208333333333334</v>
      </c>
      <c r="K11" s="18" t="n">
        <v>15</v>
      </c>
      <c r="L11" s="30">
        <f>ROUND(MAX(0,((J11-I11)*24)-(K11/60)),2)</f>
        <v/>
      </c>
      <c r="M11" s="18" t="inlineStr">
        <is>
          <t>Yes</t>
        </is>
      </c>
      <c r="N11" s="18" t="inlineStr">
        <is>
          <t>Shallow Work</t>
        </is>
      </c>
      <c r="O11" s="18" t="inlineStr">
        <is>
          <t>Email copy draft</t>
        </is>
      </c>
    </row>
    <row r="12">
      <c r="B12" s="18">
        <f>"TL-"&amp;TEXT(SUBTOTAL(103,$H$4:H12),"0000")</f>
        <v/>
      </c>
      <c r="C12" s="18" t="inlineStr">
        <is>
          <t>TASK-0008</t>
        </is>
      </c>
      <c r="D12" s="18">
        <f>IFERROR(INDEX(Tbl_Tasks[Task Name],MATCH(C12,Tbl_Tasks[Task ID],0)),"")</f>
        <v/>
      </c>
      <c r="E12" s="18">
        <f>IFERROR(INDEX(Tbl_Tasks[Project],MATCH(C12,Tbl_Tasks[Task ID],0)),"")</f>
        <v/>
      </c>
      <c r="F12" s="18">
        <f>IFERROR(INDEX(Tbl_Tasks[Company],MATCH(C12,Tbl_Tasks[Task ID],0)),"")</f>
        <v/>
      </c>
      <c r="G12" s="18" t="inlineStr">
        <is>
          <t>Bilal Ahmed</t>
        </is>
      </c>
      <c r="H12" s="23" t="n">
        <v>46218</v>
      </c>
      <c r="I12" s="29" t="n">
        <v>0.375</v>
      </c>
      <c r="J12" s="29" t="n">
        <v>0.5833333333333334</v>
      </c>
      <c r="K12" s="18" t="n">
        <v>30</v>
      </c>
      <c r="L12" s="30">
        <f>ROUND(MAX(0,((J12-I12)*24)-(K12/60)),2)</f>
        <v/>
      </c>
      <c r="M12" s="18" t="inlineStr">
        <is>
          <t>Yes</t>
        </is>
      </c>
      <c r="N12" s="18" t="inlineStr">
        <is>
          <t>Shallow Work</t>
        </is>
      </c>
      <c r="O12" s="18" t="inlineStr">
        <is>
          <t>Product shoot day 1</t>
        </is>
      </c>
    </row>
    <row r="13">
      <c r="B13" s="18">
        <f>"TL-"&amp;TEXT(SUBTOTAL(103,$H$4:H13),"0000")</f>
        <v/>
      </c>
      <c r="C13" s="18" t="inlineStr">
        <is>
          <t>TASK-0008</t>
        </is>
      </c>
      <c r="D13" s="18">
        <f>IFERROR(INDEX(Tbl_Tasks[Task Name],MATCH(C13,Tbl_Tasks[Task ID],0)),"")</f>
        <v/>
      </c>
      <c r="E13" s="18">
        <f>IFERROR(INDEX(Tbl_Tasks[Project],MATCH(C13,Tbl_Tasks[Task ID],0)),"")</f>
        <v/>
      </c>
      <c r="F13" s="18">
        <f>IFERROR(INDEX(Tbl_Tasks[Company],MATCH(C13,Tbl_Tasks[Task ID],0)),"")</f>
        <v/>
      </c>
      <c r="G13" s="18" t="inlineStr">
        <is>
          <t>Bilal Ahmed</t>
        </is>
      </c>
      <c r="H13" s="23" t="n">
        <v>46219</v>
      </c>
      <c r="I13" s="29" t="n">
        <v>0.375</v>
      </c>
      <c r="J13" s="29" t="n">
        <v>0.5416666666666666</v>
      </c>
      <c r="K13" s="18" t="n">
        <v>15</v>
      </c>
      <c r="L13" s="30">
        <f>ROUND(MAX(0,((J13-I13)*24)-(K13/60)),2)</f>
        <v/>
      </c>
      <c r="M13" s="18" t="inlineStr">
        <is>
          <t>Yes</t>
        </is>
      </c>
      <c r="N13" s="18" t="inlineStr">
        <is>
          <t>Shallow Work</t>
        </is>
      </c>
      <c r="O13" s="18" t="inlineStr">
        <is>
          <t>Product shoot day 2</t>
        </is>
      </c>
    </row>
    <row r="14">
      <c r="B14" s="18">
        <f>"TL-"&amp;TEXT(SUBTOTAL(103,$H$4:H14),"0000")</f>
        <v/>
      </c>
      <c r="C14" s="18" t="inlineStr">
        <is>
          <t>TASK-0009</t>
        </is>
      </c>
      <c r="D14" s="18">
        <f>IFERROR(INDEX(Tbl_Tasks[Task Name],MATCH(C14,Tbl_Tasks[Task ID],0)),"")</f>
        <v/>
      </c>
      <c r="E14" s="18">
        <f>IFERROR(INDEX(Tbl_Tasks[Project],MATCH(C14,Tbl_Tasks[Task ID],0)),"")</f>
        <v/>
      </c>
      <c r="F14" s="18">
        <f>IFERROR(INDEX(Tbl_Tasks[Company],MATCH(C14,Tbl_Tasks[Task ID],0)),"")</f>
        <v/>
      </c>
      <c r="G14" s="18" t="inlineStr">
        <is>
          <t>Nadia Farooq</t>
        </is>
      </c>
      <c r="H14" s="23" t="n">
        <v>46208</v>
      </c>
      <c r="I14" s="29" t="n">
        <v>0.5416666666666666</v>
      </c>
      <c r="J14" s="29" t="n">
        <v>0.6666666666666666</v>
      </c>
      <c r="K14" s="18" t="n">
        <v>0</v>
      </c>
      <c r="L14" s="30">
        <f>ROUND(MAX(0,((J14-I14)*24)-(K14/60)),2)</f>
        <v/>
      </c>
      <c r="M14" s="18" t="inlineStr">
        <is>
          <t>Yes</t>
        </is>
      </c>
      <c r="N14" s="18" t="inlineStr">
        <is>
          <t>Meeting</t>
        </is>
      </c>
      <c r="O14" s="18" t="inlineStr">
        <is>
          <t>Supplier call - glaze pricing</t>
        </is>
      </c>
    </row>
    <row r="15">
      <c r="B15" s="18">
        <f>"TL-"&amp;TEXT(SUBTOTAL(103,$H$4:H15),"0000")</f>
        <v/>
      </c>
      <c r="C15" s="18" t="inlineStr">
        <is>
          <t>TASK-0011</t>
        </is>
      </c>
      <c r="D15" s="18">
        <f>IFERROR(INDEX(Tbl_Tasks[Task Name],MATCH(C15,Tbl_Tasks[Task ID],0)),"")</f>
        <v/>
      </c>
      <c r="E15" s="18">
        <f>IFERROR(INDEX(Tbl_Tasks[Project],MATCH(C15,Tbl_Tasks[Task ID],0)),"")</f>
        <v/>
      </c>
      <c r="F15" s="18">
        <f>IFERROR(INDEX(Tbl_Tasks[Company],MATCH(C15,Tbl_Tasks[Task ID],0)),"")</f>
        <v/>
      </c>
      <c r="G15" s="18" t="inlineStr">
        <is>
          <t>Nadia Farooq</t>
        </is>
      </c>
      <c r="H15" s="23" t="n">
        <v>46206</v>
      </c>
      <c r="I15" s="29" t="n">
        <v>0.375</v>
      </c>
      <c r="J15" s="29" t="n">
        <v>0.5</v>
      </c>
      <c r="K15" s="18" t="n">
        <v>0</v>
      </c>
      <c r="L15" s="30">
        <f>ROUND(MAX(0,((J15-I15)*24)-(K15/60)),2)</f>
        <v/>
      </c>
      <c r="M15" s="18" t="inlineStr">
        <is>
          <t>Yes</t>
        </is>
      </c>
      <c r="N15" s="18" t="inlineStr">
        <is>
          <t>Deep Work</t>
        </is>
      </c>
      <c r="O15" s="18" t="inlineStr">
        <is>
          <t>Workflow mapping</t>
        </is>
      </c>
    </row>
    <row r="16">
      <c r="B16" s="18">
        <f>"TL-"&amp;TEXT(SUBTOTAL(103,$H$4:H16),"0000")</f>
        <v/>
      </c>
      <c r="C16" s="18" t="inlineStr">
        <is>
          <t>TASK-0012</t>
        </is>
      </c>
      <c r="D16" s="18">
        <f>IFERROR(INDEX(Tbl_Tasks[Task Name],MATCH(C16,Tbl_Tasks[Task ID],0)),"")</f>
        <v/>
      </c>
      <c r="E16" s="18">
        <f>IFERROR(INDEX(Tbl_Tasks[Project],MATCH(C16,Tbl_Tasks[Task ID],0)),"")</f>
        <v/>
      </c>
      <c r="F16" s="18">
        <f>IFERROR(INDEX(Tbl_Tasks[Company],MATCH(C16,Tbl_Tasks[Task ID],0)),"")</f>
        <v/>
      </c>
      <c r="G16" s="18" t="inlineStr">
        <is>
          <t>Nadia Farooq</t>
        </is>
      </c>
      <c r="H16" s="23" t="n">
        <v>46221</v>
      </c>
      <c r="I16" s="29" t="n">
        <v>0.4166666666666667</v>
      </c>
      <c r="J16" s="29" t="n">
        <v>0.5625</v>
      </c>
      <c r="K16" s="18" t="n">
        <v>15</v>
      </c>
      <c r="L16" s="30">
        <f>ROUND(MAX(0,((J16-I16)*24)-(K16/60)),2)</f>
        <v/>
      </c>
      <c r="M16" s="18" t="inlineStr">
        <is>
          <t>Yes</t>
        </is>
      </c>
      <c r="N16" s="18" t="inlineStr">
        <is>
          <t>Deep Work</t>
        </is>
      </c>
      <c r="O16" s="18" t="inlineStr">
        <is>
          <t>Vendor demo #1</t>
        </is>
      </c>
    </row>
    <row r="17">
      <c r="B17" s="18">
        <f>"TL-"&amp;TEXT(SUBTOTAL(103,$H$4:H17),"0000")</f>
        <v/>
      </c>
      <c r="C17" s="18" t="inlineStr">
        <is>
          <t>TASK-0013</t>
        </is>
      </c>
      <c r="D17" s="18">
        <f>IFERROR(INDEX(Tbl_Tasks[Task Name],MATCH(C17,Tbl_Tasks[Task ID],0)),"")</f>
        <v/>
      </c>
      <c r="E17" s="18">
        <f>IFERROR(INDEX(Tbl_Tasks[Project],MATCH(C17,Tbl_Tasks[Task ID],0)),"")</f>
        <v/>
      </c>
      <c r="F17" s="18">
        <f>IFERROR(INDEX(Tbl_Tasks[Company],MATCH(C17,Tbl_Tasks[Task ID],0)),"")</f>
        <v/>
      </c>
      <c r="G17" s="18" t="inlineStr">
        <is>
          <t>Omar Siddiqui</t>
        </is>
      </c>
      <c r="H17" s="23" t="n">
        <v>46211</v>
      </c>
      <c r="I17" s="29" t="n">
        <v>0.375</v>
      </c>
      <c r="J17" s="29" t="n">
        <v>0.5416666666666666</v>
      </c>
      <c r="K17" s="18" t="n">
        <v>15</v>
      </c>
      <c r="L17" s="30">
        <f>ROUND(MAX(0,((J17-I17)*24)-(K17/60)),2)</f>
        <v/>
      </c>
      <c r="M17" s="18" t="inlineStr">
        <is>
          <t>Yes</t>
        </is>
      </c>
      <c r="N17" s="18" t="inlineStr">
        <is>
          <t>Deep Work</t>
        </is>
      </c>
      <c r="O17" s="18" t="inlineStr">
        <is>
          <t>Search UI build</t>
        </is>
      </c>
    </row>
    <row r="18">
      <c r="B18" s="18">
        <f>"TL-"&amp;TEXT(SUBTOTAL(103,$H$4:H18),"0000")</f>
        <v/>
      </c>
      <c r="C18" s="18" t="inlineStr">
        <is>
          <t>TASK-0013</t>
        </is>
      </c>
      <c r="D18" s="18">
        <f>IFERROR(INDEX(Tbl_Tasks[Task Name],MATCH(C18,Tbl_Tasks[Task ID],0)),"")</f>
        <v/>
      </c>
      <c r="E18" s="18">
        <f>IFERROR(INDEX(Tbl_Tasks[Project],MATCH(C18,Tbl_Tasks[Task ID],0)),"")</f>
        <v/>
      </c>
      <c r="F18" s="18">
        <f>IFERROR(INDEX(Tbl_Tasks[Company],MATCH(C18,Tbl_Tasks[Task ID],0)),"")</f>
        <v/>
      </c>
      <c r="G18" s="18" t="inlineStr">
        <is>
          <t>Omar Siddiqui</t>
        </is>
      </c>
      <c r="H18" s="23" t="n">
        <v>46212</v>
      </c>
      <c r="I18" s="29" t="n">
        <v>0.375</v>
      </c>
      <c r="J18" s="29" t="n">
        <v>0.5625</v>
      </c>
      <c r="K18" s="18" t="n">
        <v>15</v>
      </c>
      <c r="L18" s="30">
        <f>ROUND(MAX(0,((J18-I18)*24)-(K18/60)),2)</f>
        <v/>
      </c>
      <c r="M18" s="18" t="inlineStr">
        <is>
          <t>Yes</t>
        </is>
      </c>
      <c r="N18" s="18" t="inlineStr">
        <is>
          <t>Deep Work</t>
        </is>
      </c>
      <c r="O18" s="18" t="inlineStr">
        <is>
          <t>Profile UI build</t>
        </is>
      </c>
    </row>
    <row r="19">
      <c r="B19" s="18">
        <f>"TL-"&amp;TEXT(SUBTOTAL(103,$H$4:H19),"0000")</f>
        <v/>
      </c>
      <c r="C19" s="18" t="inlineStr">
        <is>
          <t>TASK-0013</t>
        </is>
      </c>
      <c r="D19" s="18">
        <f>IFERROR(INDEX(Tbl_Tasks[Task Name],MATCH(C19,Tbl_Tasks[Task ID],0)),"")</f>
        <v/>
      </c>
      <c r="E19" s="18">
        <f>IFERROR(INDEX(Tbl_Tasks[Project],MATCH(C19,Tbl_Tasks[Task ID],0)),"")</f>
        <v/>
      </c>
      <c r="F19" s="18">
        <f>IFERROR(INDEX(Tbl_Tasks[Company],MATCH(C19,Tbl_Tasks[Task ID],0)),"")</f>
        <v/>
      </c>
      <c r="G19" s="18" t="inlineStr">
        <is>
          <t>Omar Siddiqui</t>
        </is>
      </c>
      <c r="H19" s="23" t="n">
        <v>46213</v>
      </c>
      <c r="I19" s="29" t="n">
        <v>0.375</v>
      </c>
      <c r="J19" s="29" t="n">
        <v>0.5</v>
      </c>
      <c r="K19" s="18" t="n">
        <v>0</v>
      </c>
      <c r="L19" s="30">
        <f>ROUND(MAX(0,((J19-I19)*24)-(K19/60)),2)</f>
        <v/>
      </c>
      <c r="M19" s="18" t="inlineStr">
        <is>
          <t>Yes</t>
        </is>
      </c>
      <c r="N19" s="18" t="inlineStr">
        <is>
          <t>Deep Work</t>
        </is>
      </c>
      <c r="O19" s="18" t="inlineStr">
        <is>
          <t>Search filters</t>
        </is>
      </c>
    </row>
    <row r="20">
      <c r="B20" s="18">
        <f>"TL-"&amp;TEXT(SUBTOTAL(103,$H$4:H20),"0000")</f>
        <v/>
      </c>
      <c r="C20" s="18" t="inlineStr">
        <is>
          <t>TASK-0016</t>
        </is>
      </c>
      <c r="D20" s="18">
        <f>IFERROR(INDEX(Tbl_Tasks[Task Name],MATCH(C20,Tbl_Tasks[Task ID],0)),"")</f>
        <v/>
      </c>
      <c r="E20" s="18">
        <f>IFERROR(INDEX(Tbl_Tasks[Project],MATCH(C20,Tbl_Tasks[Task ID],0)),"")</f>
        <v/>
      </c>
      <c r="F20" s="18">
        <f>IFERROR(INDEX(Tbl_Tasks[Company],MATCH(C20,Tbl_Tasks[Task ID],0)),"")</f>
        <v/>
      </c>
      <c r="G20" s="18" t="inlineStr">
        <is>
          <t>Humayra Shajahan</t>
        </is>
      </c>
      <c r="H20" s="23" t="n">
        <v>46162</v>
      </c>
      <c r="I20" s="29" t="n">
        <v>0.375</v>
      </c>
      <c r="J20" s="29" t="n">
        <v>0.4583333333333333</v>
      </c>
      <c r="K20" s="18" t="n">
        <v>0</v>
      </c>
      <c r="L20" s="30">
        <f>ROUND(MAX(0,((J20-I20)*24)-(K20/60)),2)</f>
        <v/>
      </c>
      <c r="M20" s="18" t="inlineStr">
        <is>
          <t>No</t>
        </is>
      </c>
      <c r="N20" s="18" t="inlineStr">
        <is>
          <t>Meeting</t>
        </is>
      </c>
      <c r="O20" s="18" t="inlineStr">
        <is>
          <t>Parent interviews batch 1</t>
        </is>
      </c>
    </row>
    <row r="21">
      <c r="B21" s="18">
        <f>"TL-"&amp;TEXT(SUBTOTAL(103,$H$4:H21),"0000")</f>
        <v/>
      </c>
      <c r="C21" s="18" t="inlineStr">
        <is>
          <t>TASK-0017</t>
        </is>
      </c>
      <c r="D21" s="18">
        <f>IFERROR(INDEX(Tbl_Tasks[Task Name],MATCH(C21,Tbl_Tasks[Task ID],0)),"")</f>
        <v/>
      </c>
      <c r="E21" s="18">
        <f>IFERROR(INDEX(Tbl_Tasks[Project],MATCH(C21,Tbl_Tasks[Task ID],0)),"")</f>
        <v/>
      </c>
      <c r="F21" s="18">
        <f>IFERROR(INDEX(Tbl_Tasks[Company],MATCH(C21,Tbl_Tasks[Task ID],0)),"")</f>
        <v/>
      </c>
      <c r="G21" s="18" t="inlineStr">
        <is>
          <t>Humayra Shajahan</t>
        </is>
      </c>
      <c r="H21" s="23" t="n">
        <v>46208</v>
      </c>
      <c r="I21" s="29" t="n">
        <v>0.375</v>
      </c>
      <c r="J21" s="29" t="n">
        <v>0.4791666666666667</v>
      </c>
      <c r="K21" s="18" t="n">
        <v>15</v>
      </c>
      <c r="L21" s="30">
        <f>ROUND(MAX(0,((J21-I21)*24)-(K21/60)),2)</f>
        <v/>
      </c>
      <c r="M21" s="18" t="inlineStr">
        <is>
          <t>No</t>
        </is>
      </c>
      <c r="N21" s="18" t="inlineStr">
        <is>
          <t>Meeting</t>
        </is>
      </c>
      <c r="O21" s="18" t="inlineStr">
        <is>
          <t>Tutor interviews batch 1</t>
        </is>
      </c>
    </row>
  </sheetData>
  <dataValidations count="4">
    <dataValidation sqref="C4:C20000" showDropDown="0" showInputMessage="0" showErrorMessage="0" allowBlank="1" errorTitle="Invalid entry" error="Please choose a value from the dropdown list." type="list">
      <formula1>=List_TaskIDs</formula1>
    </dataValidation>
    <dataValidation sqref="G4:G20000" showDropDown="0" showInputMessage="0" showErrorMessage="0" allowBlank="1" errorTitle="Invalid entry" error="Please choose a value from the dropdown list." type="list">
      <formula1>=List_EmployeeNames</formula1>
    </dataValidation>
    <dataValidation sqref="M4:M20000" showDropDown="0" showInputMessage="0" showErrorMessage="0" allowBlank="1" errorTitle="Invalid entry" error="Please choose a value from the dropdown list." type="list">
      <formula1>=List_Billable</formula1>
    </dataValidation>
    <dataValidation sqref="N4:N20000" showDropDown="0" showInputMessage="0" showErrorMessage="0" allowBlank="1" errorTitle="Invalid entry" error="Please choose a value from the dropdown list." type="list">
      <formula1>=List_TimeCategories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2026-07-27T18:56:29Z</dcterms:created>
  <dcterms:modified xsi:type="dcterms:W3CDTF">2026-07-27T18:56:29Z</dcterms:modified>
</cp:coreProperties>
</file>