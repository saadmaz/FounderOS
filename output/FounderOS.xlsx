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3.xml" ContentType="application/vnd.openxmlformats-officedocument.spreadsheetml.worksheet+xml"/>
  <Override PartName="/xl/tables/table17.xml" ContentType="application/vnd.openxmlformats-officedocument.spreadsheetml.table+xml"/>
  <Override PartName="/xl/worksheets/sheet4.xml" ContentType="application/vnd.openxmlformats-officedocument.spreadsheetml.worksheet+xml"/>
  <Override PartName="/xl/tables/table18.xml" ContentType="application/vnd.openxmlformats-officedocument.spreadsheetml.table+xml"/>
  <Override PartName="/xl/worksheets/sheet5.xml" ContentType="application/vnd.openxmlformats-officedocument.spreadsheetml.worksheet+xml"/>
  <Override PartName="/xl/tables/table19.xml" ContentType="application/vnd.openxmlformats-officedocument.spreadsheetml.table+xml"/>
  <Override PartName="/xl/worksheets/sheet6.xml" ContentType="application/vnd.openxmlformats-officedocument.spreadsheetml.worksheet+xml"/>
  <Override PartName="/xl/tables/table20.xml" ContentType="application/vnd.openxmlformats-officedocument.spreadsheetml.table+xml"/>
  <Override PartName="/xl/worksheets/sheet7.xml" ContentType="application/vnd.openxmlformats-officedocument.spreadsheetml.worksheet+xml"/>
  <Override PartName="/xl/tables/table21.xml" ContentType="application/vnd.openxmlformats-officedocument.spreadsheetml.table+xml"/>
  <Override PartName="/xl/worksheets/sheet8.xml" ContentType="application/vnd.openxmlformats-officedocument.spreadsheetml.worksheet+xml"/>
  <Override PartName="/xl/tables/table22.xml" ContentType="application/vnd.openxmlformats-officedocument.spreadsheetml.table+xml"/>
  <Override PartName="/xl/worksheets/sheet9.xml" ContentType="application/vnd.openxmlformats-officedocument.spreadsheetml.worksheet+xml"/>
  <Override PartName="/xl/tables/table23.xml" ContentType="application/vnd.openxmlformats-officedocument.spreadsheetml.table+xml"/>
  <Override PartName="/xl/worksheets/sheet10.xml" ContentType="application/vnd.openxmlformats-officedocument.spreadsheetml.worksheet+xml"/>
  <Override PartName="/xl/tables/table24.xml" ContentType="application/vnd.openxmlformats-officedocument.spreadsheetml.table+xml"/>
  <Override PartName="/xl/worksheets/sheet11.xml" ContentType="application/vnd.openxmlformats-officedocument.spreadsheetml.worksheet+xml"/>
  <Override PartName="/xl/tables/table25.xml" ContentType="application/vnd.openxmlformats-officedocument.spreadsheetml.table+xml"/>
  <Override PartName="/xl/worksheets/sheet12.xml" ContentType="application/vnd.openxmlformats-officedocument.spreadsheetml.worksheet+xml"/>
  <Override PartName="/xl/tables/table26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me" sheetId="1" state="visible" r:id="rId1"/>
    <sheet name="Lookups" sheetId="2" state="visible" r:id="rId2"/>
    <sheet name="Vendors" sheetId="3" state="visible" r:id="rId3"/>
    <sheet name="Companies" sheetId="4" state="visible" r:id="rId4"/>
    <sheet name="Employees" sheetId="5" state="visible" r:id="rId5"/>
    <sheet name="Projects" sheetId="6" state="visible" r:id="rId6"/>
    <sheet name="Tasks" sheetId="7" state="visible" r:id="rId7"/>
    <sheet name="Time_Log" sheetId="8" state="visible" r:id="rId8"/>
    <sheet name="Expenses" sheetId="9" state="visible" r:id="rId9"/>
    <sheet name="Revenue" sheetId="10" state="visible" r:id="rId10"/>
    <sheet name="Invoices" sheetId="11" state="visible" r:id="rId11"/>
    <sheet name="Budgets" sheetId="12" state="visible" r:id="rId12"/>
    <sheet name="Finance" sheetId="13" state="visible" r:id="rId13"/>
  </sheets>
  <definedNames>
    <definedName name="List_Departments">'Lookups'!$B$4:INDEX('Lookups'!$B:$B,COUNTA('Lookups'!$B:$B))</definedName>
    <definedName name="List_Priority">'Lookups'!$D$4:INDEX('Lookups'!$D:$D,COUNTA('Lookups'!$D:$D))</definedName>
    <definedName name="List_Statuses">'Lookups'!$F$4:INDEX('Lookups'!$F:$F,COUNTA('Lookups'!$F:$F))</definedName>
    <definedName name="List_CompanyStatus">'Lookups'!$H$4:INDEX('Lookups'!$H:$H,COUNTA('Lookups'!$H:$H))</definedName>
    <definedName name="List_CompanyStage">'Lookups'!$J$4:INDEX('Lookups'!$J:$J,COUNTA('Lookups'!$J:$J))</definedName>
    <definedName name="List_TaskTypes">'Lookups'!$L$4:INDEX('Lookups'!$L:$L,COUNTA('Lookups'!$L:$L))</definedName>
    <definedName name="List_Currencies">'Lookups'!$N$4:INDEX('Lookups'!$N:$N,COUNTA('Lookups'!$N:$N))</definedName>
    <definedName name="List_TimeCategories">'Lookups'!$P$4:INDEX('Lookups'!$P:$P,COUNTA('Lookups'!$P:$P))</definedName>
    <definedName name="List_Billable">'Lookups'!$R$4:INDEX('Lookups'!$R:$R,COUNTA('Lookups'!$R:$R))</definedName>
    <definedName name="List_EmployeeStatus">'Lookups'!$T$4:INDEX('Lookups'!$T:$T,COUNTA('Lookups'!$T:$T))</definedName>
    <definedName name="List_ExpenseCategories">'Lookups'!$V$4:INDEX('Lookups'!$V:$V,COUNTA('Lookups'!$V:$V))</definedName>
    <definedName name="List_RevenueCategories">'Lookups'!$X$4:INDEX('Lookups'!$X:$X,COUNTA('Lookups'!$X:$X))</definedName>
    <definedName name="List_PaymentMethods">'Lookups'!$Z$4:INDEX('Lookups'!$Z:$Z,COUNTA('Lookups'!$Z:$Z))</definedName>
    <definedName name="List_ApprovalStatus">'Lookups'!$AB$4:INDEX('Lookups'!$AB:$AB,COUNTA('Lookups'!$AB:$AB))</definedName>
    <definedName name="List_PaymentStatus">'Lookups'!$AD$4:INDEX('Lookups'!$AD:$AD,COUNTA('Lookups'!$AD:$AD))</definedName>
    <definedName name="List_InvoiceStatus">'Lookups'!$AF$4:INDEX('Lookups'!$AF:$AF,COUNTA('Lookups'!$AF:$AF))</definedName>
    <definedName name="List_VendorNames">'Vendors'!$C$4:INDEX('Vendors'!$C:$C,COUNTA('Vendors'!$C:$C))</definedName>
    <definedName name="List_CompanyNames">'Companies'!$C$4:INDEX('Companies'!$C:$C,COUNTA('Companies'!$C:$C))</definedName>
    <definedName name="List_EmployeeNames">'Employees'!$C$4:INDEX('Employees'!$C:$C,COUNTA('Employees'!$C:$C))</definedName>
    <definedName name="List_ProjectNames">'Projects'!$D$4:INDEX('Projects'!$D:$D,COUNTA('Projects'!$D:$D))</definedName>
    <definedName name="List_TaskIDs">'Tasks'!$B$4:INDEX('Tasks'!$B:$B,COUNTA('Tasks'!$B:$B))</definedName>
    <definedName name="List_ExpenseIDs">'Expenses'!$B$4:INDEX('Expenses'!$B:$B,COUNTA('Expenses'!$B:$B))</definedName>
    <definedName name="List_RevenueIDs">'Revenue'!$B$4:INDEX('Revenue'!$B:$B,COUNTA('Revenue'!$B:$B))</definedName>
    <definedName name="List_InvoiceIDs">'Invoices'!$B$4:INDEX('Invoices'!$B:$B,COUNTA('Invoices'!$B:$B))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"/>
    <numFmt numFmtId="166" formatCode="hh:mm"/>
    <numFmt numFmtId="167" formatCode="mmm yyyy"/>
  </numFmts>
  <fonts count="10">
    <font>
      <name val="Calibri"/>
      <family val="2"/>
      <color theme="1"/>
      <sz val="11"/>
      <scheme val="minor"/>
    </font>
    <font>
      <name val="Segoe UI"/>
      <b val="1"/>
      <color rgb="001F2937"/>
      <sz val="14"/>
    </font>
    <font>
      <name val="Segoe UI"/>
      <i val="1"/>
      <color rgb="006B7280"/>
      <sz val="9"/>
    </font>
    <font>
      <name val="Segoe UI"/>
      <b val="1"/>
      <color rgb="00FFFFFF"/>
      <sz val="11"/>
    </font>
    <font>
      <name val="Segoe UI"/>
      <color rgb="00111827"/>
      <sz val="10"/>
    </font>
    <font>
      <name val="Segoe UI"/>
      <b val="1"/>
      <color rgb="00FFFFFF"/>
      <sz val="20"/>
    </font>
    <font>
      <name val="Segoe UI"/>
      <b val="1"/>
      <color rgb="006B7280"/>
      <sz val="9"/>
    </font>
    <font>
      <name val="Segoe UI"/>
      <b val="1"/>
      <color rgb="00FFFFFF"/>
      <sz val="9"/>
    </font>
    <font>
      <name val="Segoe UI"/>
      <b val="1"/>
      <color rgb="001F2937"/>
      <sz val="22"/>
    </font>
    <font>
      <name val="Segoe UI"/>
      <b val="1"/>
      <color rgb="00FFFFFF"/>
      <sz val="22"/>
    </font>
  </fonts>
  <fills count="9">
    <fill>
      <patternFill/>
    </fill>
    <fill>
      <patternFill patternType="gray125"/>
    </fill>
    <fill>
      <patternFill patternType="solid">
        <fgColor rgb="006B7280"/>
      </patternFill>
    </fill>
    <fill>
      <patternFill patternType="solid">
        <fgColor rgb="000D9488"/>
      </patternFill>
    </fill>
    <fill>
      <patternFill patternType="solid">
        <fgColor rgb="002563EB"/>
      </patternFill>
    </fill>
    <fill>
      <patternFill patternType="solid">
        <fgColor rgb="007C3AED"/>
      </patternFill>
    </fill>
    <fill>
      <patternFill patternType="solid">
        <fgColor rgb="00D97706"/>
      </patternFill>
    </fill>
    <fill>
      <patternFill patternType="solid">
        <fgColor rgb="00DB2777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left style="thin">
        <color rgb="00D9DEE4"/>
      </left>
      <right style="thin">
        <color rgb="00D9DEE4"/>
      </right>
      <top style="thin">
        <color rgb="00D9DEE4"/>
      </top>
      <bottom style="thin">
        <color rgb="00D9DEE4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9" fillId="8" borderId="0" applyAlignment="1" pivotButton="0" quotePrefix="0" xfId="0">
      <alignment horizontal="left" vertical="center" indent="2"/>
    </xf>
    <xf numFmtId="0" fontId="0" fillId="8" borderId="0" pivotButton="0" quotePrefix="0" xfId="0"/>
    <xf numFmtId="0" fontId="2" fillId="0" borderId="0" pivotButton="0" quotePrefix="0" xfId="0"/>
    <xf numFmtId="0" fontId="6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6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5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3" fontId="8" fillId="0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 wrapText="1"/>
    </xf>
    <xf numFmtId="0" fontId="4" fillId="0" borderId="1" pivotButton="0" quotePrefix="0" xfId="0"/>
    <xf numFmtId="165" fontId="4" fillId="0" borderId="1" pivotButton="0" quotePrefix="0" xfId="0"/>
    <xf numFmtId="4" fontId="4" fillId="0" borderId="1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164" fontId="4" fillId="0" borderId="1" pivotButton="0" quotePrefix="0" xfId="0"/>
    <xf numFmtId="9" fontId="4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166" fontId="4" fillId="0" borderId="1" pivotButton="0" quotePrefix="0" xfId="0"/>
    <xf numFmtId="2" fontId="4" fillId="0" borderId="1" pivotButton="0" quotePrefix="0" xfId="0"/>
    <xf numFmtId="167" fontId="4" fillId="0" borderId="1" pivotButton="0" quotePrefix="0" xfId="0"/>
    <xf numFmtId="0" fontId="5" fillId="8" borderId="0" applyAlignment="1" pivotButton="0" quotePrefix="0" xfId="0">
      <alignment horizontal="left" vertical="center" indent="2"/>
    </xf>
    <xf numFmtId="0" fontId="3" fillId="8" borderId="0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8">
    <dxf>
      <font>
        <name val="Segoe UI"/>
        <b val="1"/>
        <color rgb="00FFFFFF"/>
      </font>
      <fill>
        <patternFill patternType="solid">
          <fgColor rgb="0016A34A"/>
        </patternFill>
      </fill>
    </dxf>
    <dxf>
      <font>
        <name val="Segoe UI"/>
        <b val="1"/>
        <color rgb="00FFFFFF"/>
      </font>
      <fill>
        <patternFill patternType="solid">
          <fgColor rgb="00F59E0B"/>
        </patternFill>
      </fill>
    </dxf>
    <dxf>
      <font>
        <name val="Segoe UI"/>
        <b val="1"/>
        <color rgb="00FFFFFF"/>
      </font>
      <fill>
        <patternFill patternType="solid">
          <fgColor rgb="006B7280"/>
        </patternFill>
      </fill>
    </dxf>
    <dxf>
      <font>
        <name val="Segoe UI"/>
        <b val="1"/>
        <color rgb="00FFFFFF"/>
      </font>
      <fill>
        <patternFill patternType="solid">
          <fgColor rgb="002563EB"/>
        </patternFill>
      </fill>
    </dxf>
    <dxf>
      <font>
        <name val="Segoe UI"/>
        <b val="1"/>
        <color rgb="00FFFFFF"/>
      </font>
      <fill>
        <patternFill patternType="solid">
          <fgColor rgb="00DC2626"/>
        </patternFill>
      </fill>
    </dxf>
    <dxf>
      <font>
        <name val="Segoe UI"/>
        <b val="1"/>
        <color rgb="00FFFFFF"/>
      </font>
      <fill>
        <patternFill patternType="solid">
          <fgColor rgb="007C3AED"/>
        </patternFill>
      </fill>
    </dxf>
    <dxf>
      <font>
        <name val="Segoe UI"/>
        <b val="1"/>
        <color rgb="00FFFFFF"/>
        <sz val="11"/>
      </font>
      <fill>
        <patternFill patternType="solid">
          <fgColor rgb="00DC2626"/>
        </patternFill>
      </fill>
    </dxf>
    <dxf>
      <font>
        <name val="Segoe UI"/>
        <b val="1"/>
        <color rgb="00FFFFFF"/>
        <sz val="11"/>
      </font>
      <fill>
        <patternFill patternType="solid">
          <fgColor rgb="00F59E0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Hours Logged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'Companies'!U3</f>
            </strRef>
          </tx>
          <spPr>
            <a:ln>
              <a:prstDash val="solid"/>
            </a:ln>
          </spPr>
          <cat>
            <numRef>
              <f>'Companies'!$C$4:$C$6</f>
            </numRef>
          </cat>
          <val>
            <numRef>
              <f>'Companies'!$U$4:$U$6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Revenue vs Expenses by Company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'Companies'!V3</f>
            </strRef>
          </tx>
          <spPr>
            <a:ln>
              <a:prstDash val="solid"/>
            </a:ln>
          </spPr>
          <cat>
            <numRef>
              <f>'Companies'!$C$4:$C$6</f>
            </numRef>
          </cat>
          <val>
            <numRef>
              <f>'Companies'!$V$4:$V$6</f>
            </numRef>
          </val>
        </ser>
        <ser>
          <idx val="1"/>
          <order val="1"/>
          <tx>
            <strRef>
              <f>'Companies'!W3</f>
            </strRef>
          </tx>
          <spPr>
            <a:ln>
              <a:prstDash val="solid"/>
            </a:ln>
          </spPr>
          <cat>
            <numRef>
              <f>'Companies'!$C$4:$C$6</f>
            </numRef>
          </cat>
          <val>
            <numRef>
              <f>'Companies'!$W$4:$W$6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Amount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 (All Companies)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'Finance'!C67</f>
            </strRef>
          </tx>
          <spPr>
            <a:ln>
              <a:prstDash val="solid"/>
            </a:ln>
          </spPr>
          <cat>
            <numRef>
              <f>'Finance'!$B$68:$B$81</f>
            </numRef>
          </cat>
          <val>
            <numRef>
              <f>'Finance'!$C$68:$C$81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33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66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Lookup_Departments" displayName="Tbl_Lookup_Departments" ref="B3:B13" headerRowCount="1">
  <autoFilter ref="B3:B13"/>
  <tableColumns count="1">
    <tableColumn id="2" name="Department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Lookup_PriorityLevels" displayName="Tbl_Lookup_PriorityLevels" ref="D3:D7" headerRowCount="1">
  <autoFilter ref="D3:D7"/>
  <tableColumns count="1">
    <tableColumn id="4" name="Priority Levels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bl_Lookup_Statuses" displayName="Tbl_Lookup_Statuses" ref="F3:F10" headerRowCount="1">
  <autoFilter ref="F3:F10"/>
  <tableColumns count="1">
    <tableColumn id="6" name="Status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bl_Lookup_CompanyStatus" displayName="Tbl_Lookup_CompanyStatus" ref="H3:H7" headerRowCount="1">
  <autoFilter ref="H3:H7"/>
  <tableColumns count="1">
    <tableColumn id="8" name="Company Status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_Lookup_CompanyStage" displayName="Tbl_Lookup_CompanyStage" ref="J3:J9" headerRowCount="1">
  <autoFilter ref="J3:J9"/>
  <tableColumns count="1">
    <tableColumn id="10" name="Company Stag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Tbl_Lookup_TaskTypes" displayName="Tbl_Lookup_TaskTypes" ref="L3:L11" headerRowCount="1">
  <autoFilter ref="L3:L11"/>
  <tableColumns count="1">
    <tableColumn id="12" name="Task Types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Tbl_Lookup_Currencies" displayName="Tbl_Lookup_Currencies" ref="N3:N11" headerRowCount="1">
  <autoFilter ref="N3:N11"/>
  <tableColumns count="1">
    <tableColumn id="14" name="Currencies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Tbl_Lookup_TimeCategories" displayName="Tbl_Lookup_TimeCategories" ref="P3:P8" headerRowCount="1">
  <autoFilter ref="P3:P8"/>
  <tableColumns count="1">
    <tableColumn id="16" name="Time Categories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Tbl_Lookup_Billable" displayName="Tbl_Lookup_Billable" ref="R3:R5" headerRowCount="1">
  <autoFilter ref="R3:R5"/>
  <tableColumns count="1">
    <tableColumn id="18" name="Billable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Tbl_Lookup_EmployeeStatus" displayName="Tbl_Lookup_EmployeeStatus" ref="T3:T6" headerRowCount="1">
  <autoFilter ref="T3:T6"/>
  <tableColumns count="1">
    <tableColumn id="20" name="Employee Status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Tbl_Lookup_ExpenseCategories" displayName="Tbl_Lookup_ExpenseCategories" ref="V3:V17" headerRowCount="1">
  <autoFilter ref="V3:V17"/>
  <tableColumns count="1">
    <tableColumn id="22" name="Expense Categories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2" name="Tbl_Lookup_RevenueCategories" displayName="Tbl_Lookup_RevenueCategories" ref="X3:X10" headerRowCount="1">
  <autoFilter ref="X3:X10"/>
  <tableColumns count="1">
    <tableColumn id="24" name="Revenue Categories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3" name="Tbl_Lookup_PaymentMethods" displayName="Tbl_Lookup_PaymentMethods" ref="Z3:Z11" headerRowCount="1">
  <autoFilter ref="Z3:Z11"/>
  <tableColumns count="1">
    <tableColumn id="26" name="Payment Method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4" name="Tbl_Lookup_ApprovalStatus" displayName="Tbl_Lookup_ApprovalStatus" ref="AB3:AB6" headerRowCount="1">
  <autoFilter ref="AB3:AB6"/>
  <tableColumns count="1">
    <tableColumn id="28" name="Approval Statu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5" name="Tbl_Lookup_PaymentStatus" displayName="Tbl_Lookup_PaymentStatus" ref="AD3:AD7" headerRowCount="1">
  <autoFilter ref="AD3:AD7"/>
  <tableColumns count="1">
    <tableColumn id="30" name="Payment Statu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6" name="Tbl_Lookup_InvoiceStatus" displayName="Tbl_Lookup_InvoiceStatus" ref="AF3:AF8" headerRowCount="1">
  <autoFilter ref="AF3:AF8"/>
  <tableColumns count="1">
    <tableColumn id="32" name="Invoice Status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7" name="Tbl_Vendors" displayName="Tbl_Vendors" ref="B3:K9" headerRowCount="1">
  <autoFilter ref="B3:K9"/>
  <tableColumns count="10">
    <tableColumn id="2" name="Vendor ID"/>
    <tableColumn id="3" name="Vendor Name"/>
    <tableColumn id="4" name="Category"/>
    <tableColumn id="5" name="Contact Name"/>
    <tableColumn id="6" name="Email"/>
    <tableColumn id="7" name="Phone"/>
    <tableColumn id="8" name="Payment Terms"/>
    <tableColumn id="9" name="Expense Count"/>
    <tableColumn id="10" name="Total Spend"/>
    <tableColumn id="11" name="Notes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8" name="Tbl_Companies" displayName="Tbl_Companies" ref="B3:AE6" headerRowCount="1">
  <autoFilter ref="B3:AE6"/>
  <tableColumns count="30">
    <tableColumn id="2" name="Company ID"/>
    <tableColumn id="3" name="Company Name"/>
    <tableColumn id="4" name="Legal Name"/>
    <tableColumn id="5" name="Industry"/>
    <tableColumn id="6" name="Business Type"/>
    <tableColumn id="7" name="Website"/>
    <tableColumn id="8" name="Email"/>
    <tableColumn id="9" name="Phone"/>
    <tableColumn id="10" name="Country"/>
    <tableColumn id="11" name="Currency"/>
    <tableColumn id="12" name="Founder"/>
    <tableColumn id="13" name="Status"/>
    <tableColumn id="14" name="Date Started"/>
    <tableColumn id="15" name="Stage"/>
    <tableColumn id="16" name="Employees"/>
    <tableColumn id="17" name="Total Projects"/>
    <tableColumn id="18" name="Active Projects"/>
    <tableColumn id="19" name="Open Tasks"/>
    <tableColumn id="20" name="Completed Tasks"/>
    <tableColumn id="21" name="Hours Logged"/>
    <tableColumn id="22" name="Total Revenue"/>
    <tableColumn id="23" name="Total Expenses"/>
    <tableColumn id="24" name="Total Profit"/>
    <tableColumn id="25" name="Profit Margin"/>
    <tableColumn id="26" name="Monthly Revenue"/>
    <tableColumn id="27" name="Monthly Expenses"/>
    <tableColumn id="28" name="Monthly Profit"/>
    <tableColumn id="29" name="Revenue / Hour"/>
    <tableColumn id="30" name="Outstanding Reimbursements"/>
    <tableColumn id="31" name="Notes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9" name="Tbl_Employees" displayName="Tbl_Employees" ref="B3:M9" headerRowCount="1">
  <autoFilter ref="B3:M9"/>
  <tableColumns count="12">
    <tableColumn id="2" name="Employee ID"/>
    <tableColumn id="3" name="Name"/>
    <tableColumn id="4" name="Email"/>
    <tableColumn id="5" name="Role / Title"/>
    <tableColumn id="6" name="Department"/>
    <tableColumn id="7" name="Primary Company"/>
    <tableColumn id="8" name="Status"/>
    <tableColumn id="9" name="Start Date"/>
    <tableColumn id="10" name="Open Tasks"/>
    <tableColumn id="11" name="Hours Logged"/>
    <tableColumn id="12" name="Skills"/>
    <tableColumn id="13" name="Notes"/>
  </tableColumns>
  <tableStyleInfo name="TableStyleMedium9" showFirstColumn="0" showLastColumn="0" showRowStripes="1" showColumnStripes="0"/>
</table>
</file>

<file path=xl/tables/table20.xml><?xml version="1.0" encoding="utf-8"?>
<table xmlns="http://schemas.openxmlformats.org/spreadsheetml/2006/main" id="20" name="Tbl_Projects" displayName="Tbl_Projects" ref="B3:R10" headerRowCount="1">
  <autoFilter ref="B3:R10"/>
  <tableColumns count="17">
    <tableColumn id="2" name="Project ID"/>
    <tableColumn id="3" name="Company"/>
    <tableColumn id="4" name="Project Name"/>
    <tableColumn id="5" name="Description"/>
    <tableColumn id="6" name="Priority"/>
    <tableColumn id="7" name="Department"/>
    <tableColumn id="8" name="Owner"/>
    <tableColumn id="9" name="Status"/>
    <tableColumn id="10" name="Start Date"/>
    <tableColumn id="11" name="End Date"/>
    <tableColumn id="12" name="Estimated Hours"/>
    <tableColumn id="13" name="Actual Hours"/>
    <tableColumn id="14" name="Remaining Hours"/>
    <tableColumn id="15" name="Total Tasks"/>
    <tableColumn id="16" name="Completed Tasks"/>
    <tableColumn id="17" name="Completion %"/>
    <tableColumn id="18" name="Notes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id="21" name="Tbl_Tasks" displayName="Tbl_Tasks" ref="B3:Q20" headerRowCount="1">
  <autoFilter ref="B3:Q20"/>
  <tableColumns count="16">
    <tableColumn id="2" name="Task ID"/>
    <tableColumn id="3" name="Task Name"/>
    <tableColumn id="4" name="Project"/>
    <tableColumn id="5" name="Company"/>
    <tableColumn id="6" name="Department"/>
    <tableColumn id="7" name="Owner"/>
    <tableColumn id="8" name="Task Type"/>
    <tableColumn id="9" name="Priority"/>
    <tableColumn id="10" name="Status"/>
    <tableColumn id="11" name="Created Date"/>
    <tableColumn id="12" name="Due Date"/>
    <tableColumn id="13" name="Completed Date"/>
    <tableColumn id="14" name="Estimated Hours"/>
    <tableColumn id="15" name="Actual Hours"/>
    <tableColumn id="16" name="Progress %"/>
    <tableColumn id="17" name="Notes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id="22" name="Tbl_TimeLog" displayName="Tbl_TimeLog" ref="B3:O21" headerRowCount="1">
  <autoFilter ref="B3:O21"/>
  <tableColumns count="14">
    <tableColumn id="2" name="Log ID"/>
    <tableColumn id="3" name="Task"/>
    <tableColumn id="4" name="Task Name"/>
    <tableColumn id="5" name="Project"/>
    <tableColumn id="6" name="Company"/>
    <tableColumn id="7" name="Employee"/>
    <tableColumn id="8" name="Date"/>
    <tableColumn id="9" name="Start Time"/>
    <tableColumn id="10" name="End Time"/>
    <tableColumn id="11" name="Break (min)"/>
    <tableColumn id="12" name="Total Hours"/>
    <tableColumn id="13" name="Billable"/>
    <tableColumn id="14" name="Category"/>
    <tableColumn id="15" name="Notes"/>
  </tableColumns>
  <tableStyleInfo name="TableStyleMedium9" showFirstColumn="0" showLastColumn="0" showRowStripes="1" showColumnStripes="0"/>
</table>
</file>

<file path=xl/tables/table23.xml><?xml version="1.0" encoding="utf-8"?>
<table xmlns="http://schemas.openxmlformats.org/spreadsheetml/2006/main" id="23" name="Tbl_Expenses" displayName="Tbl_Expenses" ref="B3:U17" headerRowCount="1">
  <autoFilter ref="B3:U17"/>
  <tableColumns count="20">
    <tableColumn id="2" name="Expense ID"/>
    <tableColumn id="3" name="Company"/>
    <tableColumn id="4" name="Project"/>
    <tableColumn id="5" name="Category"/>
    <tableColumn id="6" name="Vendor"/>
    <tableColumn id="7" name="Date"/>
    <tableColumn id="8" name="Amount"/>
    <tableColumn id="9" name="Currency"/>
    <tableColumn id="10" name="Tax"/>
    <tableColumn id="11" name="Total"/>
    <tableColumn id="12" name="Payment Method"/>
    <tableColumn id="13" name="Paid By"/>
    <tableColumn id="14" name="Reimbursable"/>
    <tableColumn id="15" name="Reimbursed"/>
    <tableColumn id="16" name="Reimbursement Date"/>
    <tableColumn id="17" name="Approval Status"/>
    <tableColumn id="18" name="Payment Status"/>
    <tableColumn id="19" name="Receipt Link"/>
    <tableColumn id="20" name="Receipt"/>
    <tableColumn id="21" name="Notes"/>
  </tableColumns>
  <tableStyleInfo name="TableStyleMedium9" showFirstColumn="0" showLastColumn="0" showRowStripes="1" showColumnStripes="0"/>
</table>
</file>

<file path=xl/tables/table24.xml><?xml version="1.0" encoding="utf-8"?>
<table xmlns="http://schemas.openxmlformats.org/spreadsheetml/2006/main" id="24" name="Tbl_Revenue" displayName="Tbl_Revenue" ref="B3:L14" headerRowCount="1">
  <autoFilter ref="B3:L14"/>
  <tableColumns count="11">
    <tableColumn id="2" name="Revenue ID"/>
    <tableColumn id="3" name="Company"/>
    <tableColumn id="4" name="Project"/>
    <tableColumn id="5" name="Client / Source"/>
    <tableColumn id="6" name="Category"/>
    <tableColumn id="7" name="Date"/>
    <tableColumn id="8" name="Amount"/>
    <tableColumn id="9" name="Currency"/>
    <tableColumn id="10" name="Payment Status"/>
    <tableColumn id="11" name="Invoice ID"/>
    <tableColumn id="12" name="Notes"/>
  </tableColumns>
  <tableStyleInfo name="TableStyleMedium9" showFirstColumn="0" showLastColumn="0" showRowStripes="1" showColumnStripes="0"/>
</table>
</file>

<file path=xl/tables/table25.xml><?xml version="1.0" encoding="utf-8"?>
<table xmlns="http://schemas.openxmlformats.org/spreadsheetml/2006/main" id="25" name="Tbl_Invoices" displayName="Tbl_Invoices" ref="B3:M11" headerRowCount="1">
  <autoFilter ref="B3:M11"/>
  <tableColumns count="12">
    <tableColumn id="2" name="Invoice ID"/>
    <tableColumn id="3" name="Company"/>
    <tableColumn id="4" name="Client"/>
    <tableColumn id="5" name="Currency"/>
    <tableColumn id="6" name="Amount"/>
    <tableColumn id="7" name="Issue Date"/>
    <tableColumn id="8" name="Due Date"/>
    <tableColumn id="9" name="Status"/>
    <tableColumn id="10" name="Paid Date"/>
    <tableColumn id="11" name="Amount Collected"/>
    <tableColumn id="12" name="Outstanding"/>
    <tableColumn id="13" name="Notes"/>
  </tableColumns>
  <tableStyleInfo name="TableStyleMedium9" showFirstColumn="0" showLastColumn="0" showRowStripes="1" showColumnStripes="0"/>
</table>
</file>

<file path=xl/tables/table26.xml><?xml version="1.0" encoding="utf-8"?>
<table xmlns="http://schemas.openxmlformats.org/spreadsheetml/2006/main" id="26" name="Tbl_Budgets" displayName="Tbl_Budgets" ref="B3:J12" headerRowCount="1">
  <autoFilter ref="B3:J12"/>
  <tableColumns count="9">
    <tableColumn id="2" name="Budget ID"/>
    <tableColumn id="3" name="Company"/>
    <tableColumn id="4" name="Category"/>
    <tableColumn id="5" name="Month"/>
    <tableColumn id="6" name="Budgeted Amount"/>
    <tableColumn id="7" name="Actual Spent"/>
    <tableColumn id="8" name="Variance"/>
    <tableColumn id="9" name="% Used"/>
    <tableColumn id="10" name="Notes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7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8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19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0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2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2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2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6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937"/>
    <outlinePr summaryBelow="1" summaryRight="1"/>
    <pageSetUpPr/>
  </sheetPr>
  <dimension ref="B2:O59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1" customWidth="1" min="7" max="7"/>
    <col width="13" customWidth="1" min="8" max="8"/>
    <col width="13" customWidth="1" min="9" max="9"/>
    <col width="13" customWidth="1" min="10" max="10"/>
    <col width="12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B2" s="1" t="inlineStr">
        <is>
          <t>🚀 FounderOS — Founder Dashboard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16" customHeight="1">
      <c r="B5" s="3">
        <f>CONCATENATE("Live snapshot as of ",TEXT(TODAY(),"dddd, mmmm d, yyyy")," — every number below is a live formula, nothing here is typed by hand.")</f>
        <v/>
      </c>
    </row>
    <row r="7">
      <c r="B7" s="4" t="inlineStr">
        <is>
          <t>NAVIGATE</t>
        </is>
      </c>
    </row>
    <row r="8" ht="26" customHeight="1">
      <c r="B8" s="5">
        <f>HYPERLINK("#'Companies'!B4","🏢 Companies")</f>
        <v/>
      </c>
      <c r="E8" s="6">
        <f>HYPERLINK("#'Projects'!B4","📁 Projects")</f>
        <v/>
      </c>
      <c r="H8" s="7">
        <f>HYPERLINK("#'Tasks'!B4","✅ Tasks")</f>
        <v/>
      </c>
      <c r="K8" s="8">
        <f>HYPERLINK("#'Time_Log'!B4","⏱️ Time Log")</f>
        <v/>
      </c>
      <c r="N8" s="9">
        <f>HYPERLINK("#'Employees'!B4","🧑‍💼 Employees")</f>
        <v/>
      </c>
    </row>
    <row r="10" ht="26" customHeight="1">
      <c r="B10" s="5">
        <f>HYPERLINK("#'Finance'!B4","💰 Finance")</f>
        <v/>
      </c>
      <c r="E10" s="7">
        <f>HYPERLINK("#'Expenses'!B4","🧾 Expenses")</f>
        <v/>
      </c>
      <c r="H10" s="6">
        <f>HYPERLINK("#'Invoices'!B4","📄 Invoices")</f>
        <v/>
      </c>
      <c r="K10" s="7">
        <f>HYPERLINK("#'Budgets'!B4","📊 Budgets")</f>
        <v/>
      </c>
      <c r="N10" s="10">
        <f>HYPERLINK("#'Lookups'!B4","⚙️ Lookups")</f>
        <v/>
      </c>
    </row>
    <row r="13">
      <c r="B13" s="4" t="inlineStr">
        <is>
          <t>KEY METRICS</t>
        </is>
      </c>
    </row>
    <row r="14" ht="18" customHeight="1">
      <c r="B14" s="11" t="inlineStr">
        <is>
          <t>Total Companies</t>
        </is>
      </c>
      <c r="C14" s="12" t="n"/>
      <c r="D14" s="12" t="n"/>
      <c r="E14" s="11" t="inlineStr">
        <is>
          <t>Active Companies</t>
        </is>
      </c>
      <c r="F14" s="12" t="n"/>
      <c r="G14" s="12" t="n"/>
      <c r="H14" s="13" t="inlineStr">
        <is>
          <t>Total Projects</t>
        </is>
      </c>
      <c r="I14" s="12" t="n"/>
      <c r="J14" s="12" t="n"/>
    </row>
    <row r="15">
      <c r="B15" s="14">
        <f>COUNTA(Tbl_Companies[Company ID])</f>
        <v/>
      </c>
      <c r="C15" s="12" t="n"/>
      <c r="D15" s="12" t="n"/>
      <c r="E15" s="14">
        <f>COUNTIF(Tbl_Companies[Status],"Active")</f>
        <v/>
      </c>
      <c r="F15" s="12" t="n"/>
      <c r="G15" s="12" t="n"/>
      <c r="H15" s="14">
        <f>COUNTA(Tbl_Projects[Project ID])</f>
        <v/>
      </c>
      <c r="I15" s="12" t="n"/>
      <c r="J15" s="12" t="n"/>
    </row>
    <row r="16"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8" ht="18" customHeight="1">
      <c r="B18" s="13" t="inlineStr">
        <is>
          <t>Active Projects</t>
        </is>
      </c>
      <c r="C18" s="12" t="n"/>
      <c r="D18" s="12" t="n"/>
      <c r="E18" s="15" t="inlineStr">
        <is>
          <t>Open Tasks</t>
        </is>
      </c>
      <c r="F18" s="12" t="n"/>
      <c r="G18" s="12" t="n"/>
      <c r="H18" s="15" t="inlineStr">
        <is>
          <t>Overdue Tasks</t>
        </is>
      </c>
      <c r="I18" s="12" t="n"/>
      <c r="J18" s="12" t="n"/>
    </row>
    <row r="19">
      <c r="B19" s="14">
        <f>COUNTIFS(Tbl_Projects[Status],"&lt;&gt;Completed",Tbl_Projects[Status],"&lt;&gt;Cancelled")</f>
        <v/>
      </c>
      <c r="C19" s="12" t="n"/>
      <c r="D19" s="12" t="n"/>
      <c r="E19" s="14">
        <f>COUNTIFS(Tbl_Tasks[Status],"&lt;&gt;Completed",Tbl_Tasks[Status],"&lt;&gt;Cancelled")</f>
        <v/>
      </c>
      <c r="F19" s="12" t="n"/>
      <c r="G19" s="12" t="n"/>
      <c r="H19" s="14">
        <f>COUNTIFS(Tbl_Tasks[Due Date],"&lt;"&amp;TODAY(),Tbl_Tasks[Status],"&lt;&gt;Completed",Tbl_Tasks[Status],"&lt;&gt;Cancelled")</f>
        <v/>
      </c>
      <c r="I19" s="12" t="n"/>
      <c r="J19" s="12" t="n"/>
    </row>
    <row r="20"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2" ht="18" customHeight="1">
      <c r="B22" s="15" t="inlineStr">
        <is>
          <t>Due This Week</t>
        </is>
      </c>
      <c r="C22" s="12" t="n"/>
      <c r="D22" s="12" t="n"/>
      <c r="E22" s="16" t="inlineStr">
        <is>
          <t>Hours Logged (This Month)</t>
        </is>
      </c>
      <c r="F22" s="12" t="n"/>
      <c r="G22" s="12" t="n"/>
      <c r="H22" s="16" t="inlineStr">
        <is>
          <t>Total Hours Logged</t>
        </is>
      </c>
      <c r="I22" s="12" t="n"/>
      <c r="J22" s="12" t="n"/>
    </row>
    <row r="23">
      <c r="B23" s="14">
        <f>COUNTIFS(Tbl_Tasks[Due Date],"&gt;="&amp;TODAY(),Tbl_Tasks[Due Date],"&lt;="&amp;(TODAY()+7),Tbl_Tasks[Status],"&lt;&gt;Completed",Tbl_Tasks[Status],"&lt;&gt;Cancelled")</f>
        <v/>
      </c>
      <c r="C23" s="12" t="n"/>
      <c r="D23" s="12" t="n"/>
      <c r="E23" s="14">
        <f>ROUND(SUMIFS(Tbl_TimeLog[Total Hours],Tbl_TimeLog[Date],"&gt;="&amp;DATE(YEAR(TODAY()),MONTH(TODAY()),1)),1)</f>
        <v/>
      </c>
      <c r="F23" s="12" t="n"/>
      <c r="G23" s="12" t="n"/>
      <c r="H23" s="14">
        <f>ROUND(SUM(Tbl_TimeLog[Total Hours]),1)</f>
        <v/>
      </c>
      <c r="I23" s="12" t="n"/>
      <c r="J23" s="12" t="n"/>
    </row>
    <row r="24"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7">
      <c r="B27" s="4" t="inlineStr">
        <is>
          <t>FINANCE AT A GLANCE</t>
        </is>
      </c>
    </row>
    <row r="28" ht="18" customHeight="1">
      <c r="B28" s="11" t="inlineStr">
        <is>
          <t>Total Revenue</t>
        </is>
      </c>
      <c r="C28" s="12" t="n"/>
      <c r="D28" s="12" t="n"/>
      <c r="E28" s="15" t="inlineStr">
        <is>
          <t>Total Expenses</t>
        </is>
      </c>
      <c r="F28" s="12" t="n"/>
      <c r="G28" s="12" t="n"/>
      <c r="H28" s="16" t="inlineStr">
        <is>
          <t>Net Profit</t>
        </is>
      </c>
      <c r="I28" s="12" t="n"/>
      <c r="J28" s="12" t="n"/>
    </row>
    <row r="29">
      <c r="B29" s="17">
        <f>ROUND(SUM(Tbl_Revenue[Amount]),0)</f>
        <v/>
      </c>
      <c r="C29" s="12" t="n"/>
      <c r="D29" s="12" t="n"/>
      <c r="E29" s="17">
        <f>ROUND(SUM(Tbl_Expenses[Total]),0)</f>
        <v/>
      </c>
      <c r="F29" s="12" t="n"/>
      <c r="G29" s="12" t="n"/>
      <c r="H29" s="17">
        <f>ROUND(SUM(Tbl_Revenue[Amount])-SUM(Tbl_Expenses[Total]),0)</f>
        <v/>
      </c>
      <c r="I29" s="12" t="n"/>
      <c r="J29" s="12" t="n"/>
    </row>
    <row r="30"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</row>
    <row r="33">
      <c r="B33" s="4" t="inlineStr">
        <is>
          <t>COMPANY SNAPSHOT</t>
        </is>
      </c>
    </row>
    <row r="34">
      <c r="B34" s="18" t="inlineStr">
        <is>
          <t>Company</t>
        </is>
      </c>
      <c r="C34" s="18" t="inlineStr">
        <is>
          <t>Status</t>
        </is>
      </c>
      <c r="D34" s="18" t="inlineStr">
        <is>
          <t>Stage</t>
        </is>
      </c>
      <c r="E34" s="18" t="inlineStr">
        <is>
          <t>Employees</t>
        </is>
      </c>
      <c r="F34" s="18" t="inlineStr">
        <is>
          <t>Projects</t>
        </is>
      </c>
      <c r="G34" s="18" t="inlineStr">
        <is>
          <t>Open Tasks</t>
        </is>
      </c>
      <c r="H34" s="18" t="inlineStr">
        <is>
          <t>Hours Logged</t>
        </is>
      </c>
      <c r="I34" s="18" t="inlineStr">
        <is>
          <t>Revenue</t>
        </is>
      </c>
      <c r="J34" s="18" t="inlineStr">
        <is>
          <t>Expenses</t>
        </is>
      </c>
      <c r="K34" s="18" t="inlineStr">
        <is>
          <t>Profit</t>
        </is>
      </c>
    </row>
    <row r="35">
      <c r="B35" s="19">
        <f>IF(ROW()-34&lt;=COUNTA(Tbl_Companies[Company ID]),IFERROR(Companies!C4,""),"")</f>
        <v/>
      </c>
      <c r="C35" s="19">
        <f>IF(ROW()-34&lt;=COUNTA(Tbl_Companies[Company ID]),IFERROR(Companies!M4,""),"")</f>
        <v/>
      </c>
      <c r="D35" s="19">
        <f>IF(ROW()-34&lt;=COUNTA(Tbl_Companies[Company ID]),IFERROR(Companies!O4,""),"")</f>
        <v/>
      </c>
      <c r="E35" s="19">
        <f>IF(ROW()-34&lt;=COUNTA(Tbl_Companies[Company ID]),IFERROR(Companies!P4,""),"")</f>
        <v/>
      </c>
      <c r="F35" s="19">
        <f>IF(ROW()-34&lt;=COUNTA(Tbl_Companies[Company ID]),IFERROR(Companies!Q4,""),"")</f>
        <v/>
      </c>
      <c r="G35" s="19">
        <f>IF(ROW()-34&lt;=COUNTA(Tbl_Companies[Company ID]),IFERROR(Companies!S4,""),"")</f>
        <v/>
      </c>
      <c r="H35" s="20">
        <f>IF(ROW()-34&lt;=COUNTA(Tbl_Companies[Company ID]),IFERROR(Companies!U4,""),"")</f>
        <v/>
      </c>
      <c r="I35" s="21">
        <f>IF(ROW()-34&lt;=COUNTA(Tbl_Companies[Company ID]),IFERROR(Companies!V4,""),"")</f>
        <v/>
      </c>
      <c r="J35" s="21">
        <f>IF(ROW()-34&lt;=COUNTA(Tbl_Companies[Company ID]),IFERROR(Companies!W4,""),"")</f>
        <v/>
      </c>
      <c r="K35" s="21">
        <f>IF(ROW()-34&lt;=COUNTA(Tbl_Companies[Company ID]),IFERROR(Companies!X4,""),"")</f>
        <v/>
      </c>
    </row>
    <row r="36">
      <c r="B36" s="19">
        <f>IF(ROW()-34&lt;=COUNTA(Tbl_Companies[Company ID]),IFERROR(Companies!C5,""),"")</f>
        <v/>
      </c>
      <c r="C36" s="19">
        <f>IF(ROW()-34&lt;=COUNTA(Tbl_Companies[Company ID]),IFERROR(Companies!M5,""),"")</f>
        <v/>
      </c>
      <c r="D36" s="19">
        <f>IF(ROW()-34&lt;=COUNTA(Tbl_Companies[Company ID]),IFERROR(Companies!O5,""),"")</f>
        <v/>
      </c>
      <c r="E36" s="19">
        <f>IF(ROW()-34&lt;=COUNTA(Tbl_Companies[Company ID]),IFERROR(Companies!P5,""),"")</f>
        <v/>
      </c>
      <c r="F36" s="19">
        <f>IF(ROW()-34&lt;=COUNTA(Tbl_Companies[Company ID]),IFERROR(Companies!Q5,""),"")</f>
        <v/>
      </c>
      <c r="G36" s="19">
        <f>IF(ROW()-34&lt;=COUNTA(Tbl_Companies[Company ID]),IFERROR(Companies!S5,""),"")</f>
        <v/>
      </c>
      <c r="H36" s="20">
        <f>IF(ROW()-34&lt;=COUNTA(Tbl_Companies[Company ID]),IFERROR(Companies!U5,""),"")</f>
        <v/>
      </c>
      <c r="I36" s="21">
        <f>IF(ROW()-34&lt;=COUNTA(Tbl_Companies[Company ID]),IFERROR(Companies!V5,""),"")</f>
        <v/>
      </c>
      <c r="J36" s="21">
        <f>IF(ROW()-34&lt;=COUNTA(Tbl_Companies[Company ID]),IFERROR(Companies!W5,""),"")</f>
        <v/>
      </c>
      <c r="K36" s="21">
        <f>IF(ROW()-34&lt;=COUNTA(Tbl_Companies[Company ID]),IFERROR(Companies!X5,""),"")</f>
        <v/>
      </c>
    </row>
    <row r="37">
      <c r="B37" s="19">
        <f>IF(ROW()-34&lt;=COUNTA(Tbl_Companies[Company ID]),IFERROR(Companies!C6,""),"")</f>
        <v/>
      </c>
      <c r="C37" s="19">
        <f>IF(ROW()-34&lt;=COUNTA(Tbl_Companies[Company ID]),IFERROR(Companies!M6,""),"")</f>
        <v/>
      </c>
      <c r="D37" s="19">
        <f>IF(ROW()-34&lt;=COUNTA(Tbl_Companies[Company ID]),IFERROR(Companies!O6,""),"")</f>
        <v/>
      </c>
      <c r="E37" s="19">
        <f>IF(ROW()-34&lt;=COUNTA(Tbl_Companies[Company ID]),IFERROR(Companies!P6,""),"")</f>
        <v/>
      </c>
      <c r="F37" s="19">
        <f>IF(ROW()-34&lt;=COUNTA(Tbl_Companies[Company ID]),IFERROR(Companies!Q6,""),"")</f>
        <v/>
      </c>
      <c r="G37" s="19">
        <f>IF(ROW()-34&lt;=COUNTA(Tbl_Companies[Company ID]),IFERROR(Companies!S6,""),"")</f>
        <v/>
      </c>
      <c r="H37" s="20">
        <f>IF(ROW()-34&lt;=COUNTA(Tbl_Companies[Company ID]),IFERROR(Companies!U6,""),"")</f>
        <v/>
      </c>
      <c r="I37" s="21">
        <f>IF(ROW()-34&lt;=COUNTA(Tbl_Companies[Company ID]),IFERROR(Companies!V6,""),"")</f>
        <v/>
      </c>
      <c r="J37" s="21">
        <f>IF(ROW()-34&lt;=COUNTA(Tbl_Companies[Company ID]),IFERROR(Companies!W6,""),"")</f>
        <v/>
      </c>
      <c r="K37" s="21">
        <f>IF(ROW()-34&lt;=COUNTA(Tbl_Companies[Company ID]),IFERROR(Companies!X6,""),"")</f>
        <v/>
      </c>
    </row>
    <row r="38">
      <c r="B38" s="19">
        <f>IF(ROW()-34&lt;=COUNTA(Tbl_Companies[Company ID]),IFERROR(Companies!C7,""),"")</f>
        <v/>
      </c>
      <c r="C38" s="19">
        <f>IF(ROW()-34&lt;=COUNTA(Tbl_Companies[Company ID]),IFERROR(Companies!M7,""),"")</f>
        <v/>
      </c>
      <c r="D38" s="19">
        <f>IF(ROW()-34&lt;=COUNTA(Tbl_Companies[Company ID]),IFERROR(Companies!O7,""),"")</f>
        <v/>
      </c>
      <c r="E38" s="19">
        <f>IF(ROW()-34&lt;=COUNTA(Tbl_Companies[Company ID]),IFERROR(Companies!P7,""),"")</f>
        <v/>
      </c>
      <c r="F38" s="19">
        <f>IF(ROW()-34&lt;=COUNTA(Tbl_Companies[Company ID]),IFERROR(Companies!Q7,""),"")</f>
        <v/>
      </c>
      <c r="G38" s="19">
        <f>IF(ROW()-34&lt;=COUNTA(Tbl_Companies[Company ID]),IFERROR(Companies!S7,""),"")</f>
        <v/>
      </c>
      <c r="H38" s="20">
        <f>IF(ROW()-34&lt;=COUNTA(Tbl_Companies[Company ID]),IFERROR(Companies!U7,""),"")</f>
        <v/>
      </c>
      <c r="I38" s="21">
        <f>IF(ROW()-34&lt;=COUNTA(Tbl_Companies[Company ID]),IFERROR(Companies!V7,""),"")</f>
        <v/>
      </c>
      <c r="J38" s="21">
        <f>IF(ROW()-34&lt;=COUNTA(Tbl_Companies[Company ID]),IFERROR(Companies!W7,""),"")</f>
        <v/>
      </c>
      <c r="K38" s="21">
        <f>IF(ROW()-34&lt;=COUNTA(Tbl_Companies[Company ID]),IFERROR(Companies!X7,""),"")</f>
        <v/>
      </c>
    </row>
    <row r="39">
      <c r="B39" s="19">
        <f>IF(ROW()-34&lt;=COUNTA(Tbl_Companies[Company ID]),IFERROR(Companies!C8,""),"")</f>
        <v/>
      </c>
      <c r="C39" s="19">
        <f>IF(ROW()-34&lt;=COUNTA(Tbl_Companies[Company ID]),IFERROR(Companies!M8,""),"")</f>
        <v/>
      </c>
      <c r="D39" s="19">
        <f>IF(ROW()-34&lt;=COUNTA(Tbl_Companies[Company ID]),IFERROR(Companies!O8,""),"")</f>
        <v/>
      </c>
      <c r="E39" s="19">
        <f>IF(ROW()-34&lt;=COUNTA(Tbl_Companies[Company ID]),IFERROR(Companies!P8,""),"")</f>
        <v/>
      </c>
      <c r="F39" s="19">
        <f>IF(ROW()-34&lt;=COUNTA(Tbl_Companies[Company ID]),IFERROR(Companies!Q8,""),"")</f>
        <v/>
      </c>
      <c r="G39" s="19">
        <f>IF(ROW()-34&lt;=COUNTA(Tbl_Companies[Company ID]),IFERROR(Companies!S8,""),"")</f>
        <v/>
      </c>
      <c r="H39" s="20">
        <f>IF(ROW()-34&lt;=COUNTA(Tbl_Companies[Company ID]),IFERROR(Companies!U8,""),"")</f>
        <v/>
      </c>
      <c r="I39" s="21">
        <f>IF(ROW()-34&lt;=COUNTA(Tbl_Companies[Company ID]),IFERROR(Companies!V8,""),"")</f>
        <v/>
      </c>
      <c r="J39" s="21">
        <f>IF(ROW()-34&lt;=COUNTA(Tbl_Companies[Company ID]),IFERROR(Companies!W8,""),"")</f>
        <v/>
      </c>
      <c r="K39" s="21">
        <f>IF(ROW()-34&lt;=COUNTA(Tbl_Companies[Company ID]),IFERROR(Companies!X8,""),"")</f>
        <v/>
      </c>
    </row>
    <row r="40">
      <c r="B40" s="19">
        <f>IF(ROW()-34&lt;=COUNTA(Tbl_Companies[Company ID]),IFERROR(Companies!C9,""),"")</f>
        <v/>
      </c>
      <c r="C40" s="19">
        <f>IF(ROW()-34&lt;=COUNTA(Tbl_Companies[Company ID]),IFERROR(Companies!M9,""),"")</f>
        <v/>
      </c>
      <c r="D40" s="19">
        <f>IF(ROW()-34&lt;=COUNTA(Tbl_Companies[Company ID]),IFERROR(Companies!O9,""),"")</f>
        <v/>
      </c>
      <c r="E40" s="19">
        <f>IF(ROW()-34&lt;=COUNTA(Tbl_Companies[Company ID]),IFERROR(Companies!P9,""),"")</f>
        <v/>
      </c>
      <c r="F40" s="19">
        <f>IF(ROW()-34&lt;=COUNTA(Tbl_Companies[Company ID]),IFERROR(Companies!Q9,""),"")</f>
        <v/>
      </c>
      <c r="G40" s="19">
        <f>IF(ROW()-34&lt;=COUNTA(Tbl_Companies[Company ID]),IFERROR(Companies!S9,""),"")</f>
        <v/>
      </c>
      <c r="H40" s="20">
        <f>IF(ROW()-34&lt;=COUNTA(Tbl_Companies[Company ID]),IFERROR(Companies!U9,""),"")</f>
        <v/>
      </c>
      <c r="I40" s="21">
        <f>IF(ROW()-34&lt;=COUNTA(Tbl_Companies[Company ID]),IFERROR(Companies!V9,""),"")</f>
        <v/>
      </c>
      <c r="J40" s="21">
        <f>IF(ROW()-34&lt;=COUNTA(Tbl_Companies[Company ID]),IFERROR(Companies!W9,""),"")</f>
        <v/>
      </c>
      <c r="K40" s="21">
        <f>IF(ROW()-34&lt;=COUNTA(Tbl_Companies[Company ID]),IFERROR(Companies!X9,""),"")</f>
        <v/>
      </c>
    </row>
    <row r="41">
      <c r="B41" s="19">
        <f>IF(ROW()-34&lt;=COUNTA(Tbl_Companies[Company ID]),IFERROR(Companies!C10,""),"")</f>
        <v/>
      </c>
      <c r="C41" s="19">
        <f>IF(ROW()-34&lt;=COUNTA(Tbl_Companies[Company ID]),IFERROR(Companies!M10,""),"")</f>
        <v/>
      </c>
      <c r="D41" s="19">
        <f>IF(ROW()-34&lt;=COUNTA(Tbl_Companies[Company ID]),IFERROR(Companies!O10,""),"")</f>
        <v/>
      </c>
      <c r="E41" s="19">
        <f>IF(ROW()-34&lt;=COUNTA(Tbl_Companies[Company ID]),IFERROR(Companies!P10,""),"")</f>
        <v/>
      </c>
      <c r="F41" s="19">
        <f>IF(ROW()-34&lt;=COUNTA(Tbl_Companies[Company ID]),IFERROR(Companies!Q10,""),"")</f>
        <v/>
      </c>
      <c r="G41" s="19">
        <f>IF(ROW()-34&lt;=COUNTA(Tbl_Companies[Company ID]),IFERROR(Companies!S10,""),"")</f>
        <v/>
      </c>
      <c r="H41" s="20">
        <f>IF(ROW()-34&lt;=COUNTA(Tbl_Companies[Company ID]),IFERROR(Companies!U10,""),"")</f>
        <v/>
      </c>
      <c r="I41" s="21">
        <f>IF(ROW()-34&lt;=COUNTA(Tbl_Companies[Company ID]),IFERROR(Companies!V10,""),"")</f>
        <v/>
      </c>
      <c r="J41" s="21">
        <f>IF(ROW()-34&lt;=COUNTA(Tbl_Companies[Company ID]),IFERROR(Companies!W10,""),"")</f>
        <v/>
      </c>
      <c r="K41" s="21">
        <f>IF(ROW()-34&lt;=COUNTA(Tbl_Companies[Company ID]),IFERROR(Companies!X10,""),"")</f>
        <v/>
      </c>
    </row>
    <row r="42">
      <c r="B42" s="19">
        <f>IF(ROW()-34&lt;=COUNTA(Tbl_Companies[Company ID]),IFERROR(Companies!C11,""),"")</f>
        <v/>
      </c>
      <c r="C42" s="19">
        <f>IF(ROW()-34&lt;=COUNTA(Tbl_Companies[Company ID]),IFERROR(Companies!M11,""),"")</f>
        <v/>
      </c>
      <c r="D42" s="19">
        <f>IF(ROW()-34&lt;=COUNTA(Tbl_Companies[Company ID]),IFERROR(Companies!O11,""),"")</f>
        <v/>
      </c>
      <c r="E42" s="19">
        <f>IF(ROW()-34&lt;=COUNTA(Tbl_Companies[Company ID]),IFERROR(Companies!P11,""),"")</f>
        <v/>
      </c>
      <c r="F42" s="19">
        <f>IF(ROW()-34&lt;=COUNTA(Tbl_Companies[Company ID]),IFERROR(Companies!Q11,""),"")</f>
        <v/>
      </c>
      <c r="G42" s="19">
        <f>IF(ROW()-34&lt;=COUNTA(Tbl_Companies[Company ID]),IFERROR(Companies!S11,""),"")</f>
        <v/>
      </c>
      <c r="H42" s="20">
        <f>IF(ROW()-34&lt;=COUNTA(Tbl_Companies[Company ID]),IFERROR(Companies!U11,""),"")</f>
        <v/>
      </c>
      <c r="I42" s="21">
        <f>IF(ROW()-34&lt;=COUNTA(Tbl_Companies[Company ID]),IFERROR(Companies!V11,""),"")</f>
        <v/>
      </c>
      <c r="J42" s="21">
        <f>IF(ROW()-34&lt;=COUNTA(Tbl_Companies[Company ID]),IFERROR(Companies!W11,""),"")</f>
        <v/>
      </c>
      <c r="K42" s="21">
        <f>IF(ROW()-34&lt;=COUNTA(Tbl_Companies[Company ID]),IFERROR(Companies!X11,""),"")</f>
        <v/>
      </c>
    </row>
    <row r="43">
      <c r="B43" s="19">
        <f>IF(ROW()-34&lt;=COUNTA(Tbl_Companies[Company ID]),IFERROR(Companies!C12,""),"")</f>
        <v/>
      </c>
      <c r="C43" s="19">
        <f>IF(ROW()-34&lt;=COUNTA(Tbl_Companies[Company ID]),IFERROR(Companies!M12,""),"")</f>
        <v/>
      </c>
      <c r="D43" s="19">
        <f>IF(ROW()-34&lt;=COUNTA(Tbl_Companies[Company ID]),IFERROR(Companies!O12,""),"")</f>
        <v/>
      </c>
      <c r="E43" s="19">
        <f>IF(ROW()-34&lt;=COUNTA(Tbl_Companies[Company ID]),IFERROR(Companies!P12,""),"")</f>
        <v/>
      </c>
      <c r="F43" s="19">
        <f>IF(ROW()-34&lt;=COUNTA(Tbl_Companies[Company ID]),IFERROR(Companies!Q12,""),"")</f>
        <v/>
      </c>
      <c r="G43" s="19">
        <f>IF(ROW()-34&lt;=COUNTA(Tbl_Companies[Company ID]),IFERROR(Companies!S12,""),"")</f>
        <v/>
      </c>
      <c r="H43" s="20">
        <f>IF(ROW()-34&lt;=COUNTA(Tbl_Companies[Company ID]),IFERROR(Companies!U12,""),"")</f>
        <v/>
      </c>
      <c r="I43" s="21">
        <f>IF(ROW()-34&lt;=COUNTA(Tbl_Companies[Company ID]),IFERROR(Companies!V12,""),"")</f>
        <v/>
      </c>
      <c r="J43" s="21">
        <f>IF(ROW()-34&lt;=COUNTA(Tbl_Companies[Company ID]),IFERROR(Companies!W12,""),"")</f>
        <v/>
      </c>
      <c r="K43" s="21">
        <f>IF(ROW()-34&lt;=COUNTA(Tbl_Companies[Company ID]),IFERROR(Companies!X12,""),"")</f>
        <v/>
      </c>
    </row>
    <row r="44">
      <c r="B44" s="19">
        <f>IF(ROW()-34&lt;=COUNTA(Tbl_Companies[Company ID]),IFERROR(Companies!C13,""),"")</f>
        <v/>
      </c>
      <c r="C44" s="19">
        <f>IF(ROW()-34&lt;=COUNTA(Tbl_Companies[Company ID]),IFERROR(Companies!M13,""),"")</f>
        <v/>
      </c>
      <c r="D44" s="19">
        <f>IF(ROW()-34&lt;=COUNTA(Tbl_Companies[Company ID]),IFERROR(Companies!O13,""),"")</f>
        <v/>
      </c>
      <c r="E44" s="19">
        <f>IF(ROW()-34&lt;=COUNTA(Tbl_Companies[Company ID]),IFERROR(Companies!P13,""),"")</f>
        <v/>
      </c>
      <c r="F44" s="19">
        <f>IF(ROW()-34&lt;=COUNTA(Tbl_Companies[Company ID]),IFERROR(Companies!Q13,""),"")</f>
        <v/>
      </c>
      <c r="G44" s="19">
        <f>IF(ROW()-34&lt;=COUNTA(Tbl_Companies[Company ID]),IFERROR(Companies!S13,""),"")</f>
        <v/>
      </c>
      <c r="H44" s="20">
        <f>IF(ROW()-34&lt;=COUNTA(Tbl_Companies[Company ID]),IFERROR(Companies!U13,""),"")</f>
        <v/>
      </c>
      <c r="I44" s="21">
        <f>IF(ROW()-34&lt;=COUNTA(Tbl_Companies[Company ID]),IFERROR(Companies!V13,""),"")</f>
        <v/>
      </c>
      <c r="J44" s="21">
        <f>IF(ROW()-34&lt;=COUNTA(Tbl_Companies[Company ID]),IFERROR(Companies!W13,""),"")</f>
        <v/>
      </c>
      <c r="K44" s="21">
        <f>IF(ROW()-34&lt;=COUNTA(Tbl_Companies[Company ID]),IFERROR(Companies!X13,""),"")</f>
        <v/>
      </c>
    </row>
    <row r="45">
      <c r="B45" s="19">
        <f>IF(ROW()-34&lt;=COUNTA(Tbl_Companies[Company ID]),IFERROR(Companies!C14,""),"")</f>
        <v/>
      </c>
      <c r="C45" s="19">
        <f>IF(ROW()-34&lt;=COUNTA(Tbl_Companies[Company ID]),IFERROR(Companies!M14,""),"")</f>
        <v/>
      </c>
      <c r="D45" s="19">
        <f>IF(ROW()-34&lt;=COUNTA(Tbl_Companies[Company ID]),IFERROR(Companies!O14,""),"")</f>
        <v/>
      </c>
      <c r="E45" s="19">
        <f>IF(ROW()-34&lt;=COUNTA(Tbl_Companies[Company ID]),IFERROR(Companies!P14,""),"")</f>
        <v/>
      </c>
      <c r="F45" s="19">
        <f>IF(ROW()-34&lt;=COUNTA(Tbl_Companies[Company ID]),IFERROR(Companies!Q14,""),"")</f>
        <v/>
      </c>
      <c r="G45" s="19">
        <f>IF(ROW()-34&lt;=COUNTA(Tbl_Companies[Company ID]),IFERROR(Companies!S14,""),"")</f>
        <v/>
      </c>
      <c r="H45" s="20">
        <f>IF(ROW()-34&lt;=COUNTA(Tbl_Companies[Company ID]),IFERROR(Companies!U14,""),"")</f>
        <v/>
      </c>
      <c r="I45" s="21">
        <f>IF(ROW()-34&lt;=COUNTA(Tbl_Companies[Company ID]),IFERROR(Companies!V14,""),"")</f>
        <v/>
      </c>
      <c r="J45" s="21">
        <f>IF(ROW()-34&lt;=COUNTA(Tbl_Companies[Company ID]),IFERROR(Companies!W14,""),"")</f>
        <v/>
      </c>
      <c r="K45" s="21">
        <f>IF(ROW()-34&lt;=COUNTA(Tbl_Companies[Company ID]),IFERROR(Companies!X14,""),"")</f>
        <v/>
      </c>
    </row>
    <row r="46">
      <c r="B46" s="19">
        <f>IF(ROW()-34&lt;=COUNTA(Tbl_Companies[Company ID]),IFERROR(Companies!C15,""),"")</f>
        <v/>
      </c>
      <c r="C46" s="19">
        <f>IF(ROW()-34&lt;=COUNTA(Tbl_Companies[Company ID]),IFERROR(Companies!M15,""),"")</f>
        <v/>
      </c>
      <c r="D46" s="19">
        <f>IF(ROW()-34&lt;=COUNTA(Tbl_Companies[Company ID]),IFERROR(Companies!O15,""),"")</f>
        <v/>
      </c>
      <c r="E46" s="19">
        <f>IF(ROW()-34&lt;=COUNTA(Tbl_Companies[Company ID]),IFERROR(Companies!P15,""),"")</f>
        <v/>
      </c>
      <c r="F46" s="19">
        <f>IF(ROW()-34&lt;=COUNTA(Tbl_Companies[Company ID]),IFERROR(Companies!Q15,""),"")</f>
        <v/>
      </c>
      <c r="G46" s="19">
        <f>IF(ROW()-34&lt;=COUNTA(Tbl_Companies[Company ID]),IFERROR(Companies!S15,""),"")</f>
        <v/>
      </c>
      <c r="H46" s="20">
        <f>IF(ROW()-34&lt;=COUNTA(Tbl_Companies[Company ID]),IFERROR(Companies!U15,""),"")</f>
        <v/>
      </c>
      <c r="I46" s="21">
        <f>IF(ROW()-34&lt;=COUNTA(Tbl_Companies[Company ID]),IFERROR(Companies!V15,""),"")</f>
        <v/>
      </c>
      <c r="J46" s="21">
        <f>IF(ROW()-34&lt;=COUNTA(Tbl_Companies[Company ID]),IFERROR(Companies!W15,""),"")</f>
        <v/>
      </c>
      <c r="K46" s="21">
        <f>IF(ROW()-34&lt;=COUNTA(Tbl_Companies[Company ID]),IFERROR(Companies!X15,""),"")</f>
        <v/>
      </c>
    </row>
    <row r="47">
      <c r="B47" s="19">
        <f>IF(ROW()-34&lt;=COUNTA(Tbl_Companies[Company ID]),IFERROR(Companies!C16,""),"")</f>
        <v/>
      </c>
      <c r="C47" s="19">
        <f>IF(ROW()-34&lt;=COUNTA(Tbl_Companies[Company ID]),IFERROR(Companies!M16,""),"")</f>
        <v/>
      </c>
      <c r="D47" s="19">
        <f>IF(ROW()-34&lt;=COUNTA(Tbl_Companies[Company ID]),IFERROR(Companies!O16,""),"")</f>
        <v/>
      </c>
      <c r="E47" s="19">
        <f>IF(ROW()-34&lt;=COUNTA(Tbl_Companies[Company ID]),IFERROR(Companies!P16,""),"")</f>
        <v/>
      </c>
      <c r="F47" s="19">
        <f>IF(ROW()-34&lt;=COUNTA(Tbl_Companies[Company ID]),IFERROR(Companies!Q16,""),"")</f>
        <v/>
      </c>
      <c r="G47" s="19">
        <f>IF(ROW()-34&lt;=COUNTA(Tbl_Companies[Company ID]),IFERROR(Companies!S16,""),"")</f>
        <v/>
      </c>
      <c r="H47" s="20">
        <f>IF(ROW()-34&lt;=COUNTA(Tbl_Companies[Company ID]),IFERROR(Companies!U16,""),"")</f>
        <v/>
      </c>
      <c r="I47" s="21">
        <f>IF(ROW()-34&lt;=COUNTA(Tbl_Companies[Company ID]),IFERROR(Companies!V16,""),"")</f>
        <v/>
      </c>
      <c r="J47" s="21">
        <f>IF(ROW()-34&lt;=COUNTA(Tbl_Companies[Company ID]),IFERROR(Companies!W16,""),"")</f>
        <v/>
      </c>
      <c r="K47" s="21">
        <f>IF(ROW()-34&lt;=COUNTA(Tbl_Companies[Company ID]),IFERROR(Companies!X16,""),"")</f>
        <v/>
      </c>
    </row>
    <row r="48">
      <c r="B48" s="19">
        <f>IF(ROW()-34&lt;=COUNTA(Tbl_Companies[Company ID]),IFERROR(Companies!C17,""),"")</f>
        <v/>
      </c>
      <c r="C48" s="19">
        <f>IF(ROW()-34&lt;=COUNTA(Tbl_Companies[Company ID]),IFERROR(Companies!M17,""),"")</f>
        <v/>
      </c>
      <c r="D48" s="19">
        <f>IF(ROW()-34&lt;=COUNTA(Tbl_Companies[Company ID]),IFERROR(Companies!O17,""),"")</f>
        <v/>
      </c>
      <c r="E48" s="19">
        <f>IF(ROW()-34&lt;=COUNTA(Tbl_Companies[Company ID]),IFERROR(Companies!P17,""),"")</f>
        <v/>
      </c>
      <c r="F48" s="19">
        <f>IF(ROW()-34&lt;=COUNTA(Tbl_Companies[Company ID]),IFERROR(Companies!Q17,""),"")</f>
        <v/>
      </c>
      <c r="G48" s="19">
        <f>IF(ROW()-34&lt;=COUNTA(Tbl_Companies[Company ID]),IFERROR(Companies!S17,""),"")</f>
        <v/>
      </c>
      <c r="H48" s="20">
        <f>IF(ROW()-34&lt;=COUNTA(Tbl_Companies[Company ID]),IFERROR(Companies!U17,""),"")</f>
        <v/>
      </c>
      <c r="I48" s="21">
        <f>IF(ROW()-34&lt;=COUNTA(Tbl_Companies[Company ID]),IFERROR(Companies!V17,""),"")</f>
        <v/>
      </c>
      <c r="J48" s="21">
        <f>IF(ROW()-34&lt;=COUNTA(Tbl_Companies[Company ID]),IFERROR(Companies!W17,""),"")</f>
        <v/>
      </c>
      <c r="K48" s="21">
        <f>IF(ROW()-34&lt;=COUNTA(Tbl_Companies[Company ID]),IFERROR(Companies!X17,""),"")</f>
        <v/>
      </c>
    </row>
    <row r="49">
      <c r="B49" s="19">
        <f>IF(ROW()-34&lt;=COUNTA(Tbl_Companies[Company ID]),IFERROR(Companies!C18,""),"")</f>
        <v/>
      </c>
      <c r="C49" s="19">
        <f>IF(ROW()-34&lt;=COUNTA(Tbl_Companies[Company ID]),IFERROR(Companies!M18,""),"")</f>
        <v/>
      </c>
      <c r="D49" s="19">
        <f>IF(ROW()-34&lt;=COUNTA(Tbl_Companies[Company ID]),IFERROR(Companies!O18,""),"")</f>
        <v/>
      </c>
      <c r="E49" s="19">
        <f>IF(ROW()-34&lt;=COUNTA(Tbl_Companies[Company ID]),IFERROR(Companies!P18,""),"")</f>
        <v/>
      </c>
      <c r="F49" s="19">
        <f>IF(ROW()-34&lt;=COUNTA(Tbl_Companies[Company ID]),IFERROR(Companies!Q18,""),"")</f>
        <v/>
      </c>
      <c r="G49" s="19">
        <f>IF(ROW()-34&lt;=COUNTA(Tbl_Companies[Company ID]),IFERROR(Companies!S18,""),"")</f>
        <v/>
      </c>
      <c r="H49" s="20">
        <f>IF(ROW()-34&lt;=COUNTA(Tbl_Companies[Company ID]),IFERROR(Companies!U18,""),"")</f>
        <v/>
      </c>
      <c r="I49" s="21">
        <f>IF(ROW()-34&lt;=COUNTA(Tbl_Companies[Company ID]),IFERROR(Companies!V18,""),"")</f>
        <v/>
      </c>
      <c r="J49" s="21">
        <f>IF(ROW()-34&lt;=COUNTA(Tbl_Companies[Company ID]),IFERROR(Companies!W18,""),"")</f>
        <v/>
      </c>
      <c r="K49" s="21">
        <f>IF(ROW()-34&lt;=COUNTA(Tbl_Companies[Company ID]),IFERROR(Companies!X18,""),"")</f>
        <v/>
      </c>
    </row>
    <row r="50">
      <c r="B50" s="19">
        <f>IF(ROW()-34&lt;=COUNTA(Tbl_Companies[Company ID]),IFERROR(Companies!C19,""),"")</f>
        <v/>
      </c>
      <c r="C50" s="19">
        <f>IF(ROW()-34&lt;=COUNTA(Tbl_Companies[Company ID]),IFERROR(Companies!M19,""),"")</f>
        <v/>
      </c>
      <c r="D50" s="19">
        <f>IF(ROW()-34&lt;=COUNTA(Tbl_Companies[Company ID]),IFERROR(Companies!O19,""),"")</f>
        <v/>
      </c>
      <c r="E50" s="19">
        <f>IF(ROW()-34&lt;=COUNTA(Tbl_Companies[Company ID]),IFERROR(Companies!P19,""),"")</f>
        <v/>
      </c>
      <c r="F50" s="19">
        <f>IF(ROW()-34&lt;=COUNTA(Tbl_Companies[Company ID]),IFERROR(Companies!Q19,""),"")</f>
        <v/>
      </c>
      <c r="G50" s="19">
        <f>IF(ROW()-34&lt;=COUNTA(Tbl_Companies[Company ID]),IFERROR(Companies!S19,""),"")</f>
        <v/>
      </c>
      <c r="H50" s="20">
        <f>IF(ROW()-34&lt;=COUNTA(Tbl_Companies[Company ID]),IFERROR(Companies!U19,""),"")</f>
        <v/>
      </c>
      <c r="I50" s="21">
        <f>IF(ROW()-34&lt;=COUNTA(Tbl_Companies[Company ID]),IFERROR(Companies!V19,""),"")</f>
        <v/>
      </c>
      <c r="J50" s="21">
        <f>IF(ROW()-34&lt;=COUNTA(Tbl_Companies[Company ID]),IFERROR(Companies!W19,""),"")</f>
        <v/>
      </c>
      <c r="K50" s="21">
        <f>IF(ROW()-34&lt;=COUNTA(Tbl_Companies[Company ID]),IFERROR(Companies!X19,""),"")</f>
        <v/>
      </c>
    </row>
    <row r="51">
      <c r="B51" s="19">
        <f>IF(ROW()-34&lt;=COUNTA(Tbl_Companies[Company ID]),IFERROR(Companies!C20,""),"")</f>
        <v/>
      </c>
      <c r="C51" s="19">
        <f>IF(ROW()-34&lt;=COUNTA(Tbl_Companies[Company ID]),IFERROR(Companies!M20,""),"")</f>
        <v/>
      </c>
      <c r="D51" s="19">
        <f>IF(ROW()-34&lt;=COUNTA(Tbl_Companies[Company ID]),IFERROR(Companies!O20,""),"")</f>
        <v/>
      </c>
      <c r="E51" s="19">
        <f>IF(ROW()-34&lt;=COUNTA(Tbl_Companies[Company ID]),IFERROR(Companies!P20,""),"")</f>
        <v/>
      </c>
      <c r="F51" s="19">
        <f>IF(ROW()-34&lt;=COUNTA(Tbl_Companies[Company ID]),IFERROR(Companies!Q20,""),"")</f>
        <v/>
      </c>
      <c r="G51" s="19">
        <f>IF(ROW()-34&lt;=COUNTA(Tbl_Companies[Company ID]),IFERROR(Companies!S20,""),"")</f>
        <v/>
      </c>
      <c r="H51" s="20">
        <f>IF(ROW()-34&lt;=COUNTA(Tbl_Companies[Company ID]),IFERROR(Companies!U20,""),"")</f>
        <v/>
      </c>
      <c r="I51" s="21">
        <f>IF(ROW()-34&lt;=COUNTA(Tbl_Companies[Company ID]),IFERROR(Companies!V20,""),"")</f>
        <v/>
      </c>
      <c r="J51" s="21">
        <f>IF(ROW()-34&lt;=COUNTA(Tbl_Companies[Company ID]),IFERROR(Companies!W20,""),"")</f>
        <v/>
      </c>
      <c r="K51" s="21">
        <f>IF(ROW()-34&lt;=COUNTA(Tbl_Companies[Company ID]),IFERROR(Companies!X20,""),"")</f>
        <v/>
      </c>
    </row>
    <row r="52">
      <c r="B52" s="19">
        <f>IF(ROW()-34&lt;=COUNTA(Tbl_Companies[Company ID]),IFERROR(Companies!C21,""),"")</f>
        <v/>
      </c>
      <c r="C52" s="19">
        <f>IF(ROW()-34&lt;=COUNTA(Tbl_Companies[Company ID]),IFERROR(Companies!M21,""),"")</f>
        <v/>
      </c>
      <c r="D52" s="19">
        <f>IF(ROW()-34&lt;=COUNTA(Tbl_Companies[Company ID]),IFERROR(Companies!O21,""),"")</f>
        <v/>
      </c>
      <c r="E52" s="19">
        <f>IF(ROW()-34&lt;=COUNTA(Tbl_Companies[Company ID]),IFERROR(Companies!P21,""),"")</f>
        <v/>
      </c>
      <c r="F52" s="19">
        <f>IF(ROW()-34&lt;=COUNTA(Tbl_Companies[Company ID]),IFERROR(Companies!Q21,""),"")</f>
        <v/>
      </c>
      <c r="G52" s="19">
        <f>IF(ROW()-34&lt;=COUNTA(Tbl_Companies[Company ID]),IFERROR(Companies!S21,""),"")</f>
        <v/>
      </c>
      <c r="H52" s="20">
        <f>IF(ROW()-34&lt;=COUNTA(Tbl_Companies[Company ID]),IFERROR(Companies!U21,""),"")</f>
        <v/>
      </c>
      <c r="I52" s="21">
        <f>IF(ROW()-34&lt;=COUNTA(Tbl_Companies[Company ID]),IFERROR(Companies!V21,""),"")</f>
        <v/>
      </c>
      <c r="J52" s="21">
        <f>IF(ROW()-34&lt;=COUNTA(Tbl_Companies[Company ID]),IFERROR(Companies!W21,""),"")</f>
        <v/>
      </c>
      <c r="K52" s="21">
        <f>IF(ROW()-34&lt;=COUNTA(Tbl_Companies[Company ID]),IFERROR(Companies!X21,""),"")</f>
        <v/>
      </c>
    </row>
    <row r="53">
      <c r="B53" s="19">
        <f>IF(ROW()-34&lt;=COUNTA(Tbl_Companies[Company ID]),IFERROR(Companies!C22,""),"")</f>
        <v/>
      </c>
      <c r="C53" s="19">
        <f>IF(ROW()-34&lt;=COUNTA(Tbl_Companies[Company ID]),IFERROR(Companies!M22,""),"")</f>
        <v/>
      </c>
      <c r="D53" s="19">
        <f>IF(ROW()-34&lt;=COUNTA(Tbl_Companies[Company ID]),IFERROR(Companies!O22,""),"")</f>
        <v/>
      </c>
      <c r="E53" s="19">
        <f>IF(ROW()-34&lt;=COUNTA(Tbl_Companies[Company ID]),IFERROR(Companies!P22,""),"")</f>
        <v/>
      </c>
      <c r="F53" s="19">
        <f>IF(ROW()-34&lt;=COUNTA(Tbl_Companies[Company ID]),IFERROR(Companies!Q22,""),"")</f>
        <v/>
      </c>
      <c r="G53" s="19">
        <f>IF(ROW()-34&lt;=COUNTA(Tbl_Companies[Company ID]),IFERROR(Companies!S22,""),"")</f>
        <v/>
      </c>
      <c r="H53" s="20">
        <f>IF(ROW()-34&lt;=COUNTA(Tbl_Companies[Company ID]),IFERROR(Companies!U22,""),"")</f>
        <v/>
      </c>
      <c r="I53" s="21">
        <f>IF(ROW()-34&lt;=COUNTA(Tbl_Companies[Company ID]),IFERROR(Companies!V22,""),"")</f>
        <v/>
      </c>
      <c r="J53" s="21">
        <f>IF(ROW()-34&lt;=COUNTA(Tbl_Companies[Company ID]),IFERROR(Companies!W22,""),"")</f>
        <v/>
      </c>
      <c r="K53" s="21">
        <f>IF(ROW()-34&lt;=COUNTA(Tbl_Companies[Company ID]),IFERROR(Companies!X22,""),"")</f>
        <v/>
      </c>
    </row>
    <row r="54">
      <c r="B54" s="19">
        <f>IF(ROW()-34&lt;=COUNTA(Tbl_Companies[Company ID]),IFERROR(Companies!C23,""),"")</f>
        <v/>
      </c>
      <c r="C54" s="19">
        <f>IF(ROW()-34&lt;=COUNTA(Tbl_Companies[Company ID]),IFERROR(Companies!M23,""),"")</f>
        <v/>
      </c>
      <c r="D54" s="19">
        <f>IF(ROW()-34&lt;=COUNTA(Tbl_Companies[Company ID]),IFERROR(Companies!O23,""),"")</f>
        <v/>
      </c>
      <c r="E54" s="19">
        <f>IF(ROW()-34&lt;=COUNTA(Tbl_Companies[Company ID]),IFERROR(Companies!P23,""),"")</f>
        <v/>
      </c>
      <c r="F54" s="19">
        <f>IF(ROW()-34&lt;=COUNTA(Tbl_Companies[Company ID]),IFERROR(Companies!Q23,""),"")</f>
        <v/>
      </c>
      <c r="G54" s="19">
        <f>IF(ROW()-34&lt;=COUNTA(Tbl_Companies[Company ID]),IFERROR(Companies!S23,""),"")</f>
        <v/>
      </c>
      <c r="H54" s="20">
        <f>IF(ROW()-34&lt;=COUNTA(Tbl_Companies[Company ID]),IFERROR(Companies!U23,""),"")</f>
        <v/>
      </c>
      <c r="I54" s="21">
        <f>IF(ROW()-34&lt;=COUNTA(Tbl_Companies[Company ID]),IFERROR(Companies!V23,""),"")</f>
        <v/>
      </c>
      <c r="J54" s="21">
        <f>IF(ROW()-34&lt;=COUNTA(Tbl_Companies[Company ID]),IFERROR(Companies!W23,""),"")</f>
        <v/>
      </c>
      <c r="K54" s="21">
        <f>IF(ROW()-34&lt;=COUNTA(Tbl_Companies[Company ID]),IFERROR(Companies!X23,""),"")</f>
        <v/>
      </c>
    </row>
    <row r="55">
      <c r="B55" s="19">
        <f>IF(ROW()-34&lt;=COUNTA(Tbl_Companies[Company ID]),IFERROR(Companies!C24,""),"")</f>
        <v/>
      </c>
      <c r="C55" s="19">
        <f>IF(ROW()-34&lt;=COUNTA(Tbl_Companies[Company ID]),IFERROR(Companies!M24,""),"")</f>
        <v/>
      </c>
      <c r="D55" s="19">
        <f>IF(ROW()-34&lt;=COUNTA(Tbl_Companies[Company ID]),IFERROR(Companies!O24,""),"")</f>
        <v/>
      </c>
      <c r="E55" s="19">
        <f>IF(ROW()-34&lt;=COUNTA(Tbl_Companies[Company ID]),IFERROR(Companies!P24,""),"")</f>
        <v/>
      </c>
      <c r="F55" s="19">
        <f>IF(ROW()-34&lt;=COUNTA(Tbl_Companies[Company ID]),IFERROR(Companies!Q24,""),"")</f>
        <v/>
      </c>
      <c r="G55" s="19">
        <f>IF(ROW()-34&lt;=COUNTA(Tbl_Companies[Company ID]),IFERROR(Companies!S24,""),"")</f>
        <v/>
      </c>
      <c r="H55" s="20">
        <f>IF(ROW()-34&lt;=COUNTA(Tbl_Companies[Company ID]),IFERROR(Companies!U24,""),"")</f>
        <v/>
      </c>
      <c r="I55" s="21">
        <f>IF(ROW()-34&lt;=COUNTA(Tbl_Companies[Company ID]),IFERROR(Companies!V24,""),"")</f>
        <v/>
      </c>
      <c r="J55" s="21">
        <f>IF(ROW()-34&lt;=COUNTA(Tbl_Companies[Company ID]),IFERROR(Companies!W24,""),"")</f>
        <v/>
      </c>
      <c r="K55" s="21">
        <f>IF(ROW()-34&lt;=COUNTA(Tbl_Companies[Company ID]),IFERROR(Companies!X24,""),"")</f>
        <v/>
      </c>
    </row>
    <row r="56">
      <c r="B56" s="19">
        <f>IF(ROW()-34&lt;=COUNTA(Tbl_Companies[Company ID]),IFERROR(Companies!C25,""),"")</f>
        <v/>
      </c>
      <c r="C56" s="19">
        <f>IF(ROW()-34&lt;=COUNTA(Tbl_Companies[Company ID]),IFERROR(Companies!M25,""),"")</f>
        <v/>
      </c>
      <c r="D56" s="19">
        <f>IF(ROW()-34&lt;=COUNTA(Tbl_Companies[Company ID]),IFERROR(Companies!O25,""),"")</f>
        <v/>
      </c>
      <c r="E56" s="19">
        <f>IF(ROW()-34&lt;=COUNTA(Tbl_Companies[Company ID]),IFERROR(Companies!P25,""),"")</f>
        <v/>
      </c>
      <c r="F56" s="19">
        <f>IF(ROW()-34&lt;=COUNTA(Tbl_Companies[Company ID]),IFERROR(Companies!Q25,""),"")</f>
        <v/>
      </c>
      <c r="G56" s="19">
        <f>IF(ROW()-34&lt;=COUNTA(Tbl_Companies[Company ID]),IFERROR(Companies!S25,""),"")</f>
        <v/>
      </c>
      <c r="H56" s="20">
        <f>IF(ROW()-34&lt;=COUNTA(Tbl_Companies[Company ID]),IFERROR(Companies!U25,""),"")</f>
        <v/>
      </c>
      <c r="I56" s="21">
        <f>IF(ROW()-34&lt;=COUNTA(Tbl_Companies[Company ID]),IFERROR(Companies!V25,""),"")</f>
        <v/>
      </c>
      <c r="J56" s="21">
        <f>IF(ROW()-34&lt;=COUNTA(Tbl_Companies[Company ID]),IFERROR(Companies!W25,""),"")</f>
        <v/>
      </c>
      <c r="K56" s="21">
        <f>IF(ROW()-34&lt;=COUNTA(Tbl_Companies[Company ID]),IFERROR(Companies!X25,""),"")</f>
        <v/>
      </c>
    </row>
    <row r="57">
      <c r="B57" s="19">
        <f>IF(ROW()-34&lt;=COUNTA(Tbl_Companies[Company ID]),IFERROR(Companies!C26,""),"")</f>
        <v/>
      </c>
      <c r="C57" s="19">
        <f>IF(ROW()-34&lt;=COUNTA(Tbl_Companies[Company ID]),IFERROR(Companies!M26,""),"")</f>
        <v/>
      </c>
      <c r="D57" s="19">
        <f>IF(ROW()-34&lt;=COUNTA(Tbl_Companies[Company ID]),IFERROR(Companies!O26,""),"")</f>
        <v/>
      </c>
      <c r="E57" s="19">
        <f>IF(ROW()-34&lt;=COUNTA(Tbl_Companies[Company ID]),IFERROR(Companies!P26,""),"")</f>
        <v/>
      </c>
      <c r="F57" s="19">
        <f>IF(ROW()-34&lt;=COUNTA(Tbl_Companies[Company ID]),IFERROR(Companies!Q26,""),"")</f>
        <v/>
      </c>
      <c r="G57" s="19">
        <f>IF(ROW()-34&lt;=COUNTA(Tbl_Companies[Company ID]),IFERROR(Companies!S26,""),"")</f>
        <v/>
      </c>
      <c r="H57" s="20">
        <f>IF(ROW()-34&lt;=COUNTA(Tbl_Companies[Company ID]),IFERROR(Companies!U26,""),"")</f>
        <v/>
      </c>
      <c r="I57" s="21">
        <f>IF(ROW()-34&lt;=COUNTA(Tbl_Companies[Company ID]),IFERROR(Companies!V26,""),"")</f>
        <v/>
      </c>
      <c r="J57" s="21">
        <f>IF(ROW()-34&lt;=COUNTA(Tbl_Companies[Company ID]),IFERROR(Companies!W26,""),"")</f>
        <v/>
      </c>
      <c r="K57" s="21">
        <f>IF(ROW()-34&lt;=COUNTA(Tbl_Companies[Company ID]),IFERROR(Companies!X26,""),"")</f>
        <v/>
      </c>
    </row>
    <row r="58">
      <c r="B58" s="19">
        <f>IF(ROW()-34&lt;=COUNTA(Tbl_Companies[Company ID]),IFERROR(Companies!C27,""),"")</f>
        <v/>
      </c>
      <c r="C58" s="19">
        <f>IF(ROW()-34&lt;=COUNTA(Tbl_Companies[Company ID]),IFERROR(Companies!M27,""),"")</f>
        <v/>
      </c>
      <c r="D58" s="19">
        <f>IF(ROW()-34&lt;=COUNTA(Tbl_Companies[Company ID]),IFERROR(Companies!O27,""),"")</f>
        <v/>
      </c>
      <c r="E58" s="19">
        <f>IF(ROW()-34&lt;=COUNTA(Tbl_Companies[Company ID]),IFERROR(Companies!P27,""),"")</f>
        <v/>
      </c>
      <c r="F58" s="19">
        <f>IF(ROW()-34&lt;=COUNTA(Tbl_Companies[Company ID]),IFERROR(Companies!Q27,""),"")</f>
        <v/>
      </c>
      <c r="G58" s="19">
        <f>IF(ROW()-34&lt;=COUNTA(Tbl_Companies[Company ID]),IFERROR(Companies!S27,""),"")</f>
        <v/>
      </c>
      <c r="H58" s="20">
        <f>IF(ROW()-34&lt;=COUNTA(Tbl_Companies[Company ID]),IFERROR(Companies!U27,""),"")</f>
        <v/>
      </c>
      <c r="I58" s="21">
        <f>IF(ROW()-34&lt;=COUNTA(Tbl_Companies[Company ID]),IFERROR(Companies!V27,""),"")</f>
        <v/>
      </c>
      <c r="J58" s="21">
        <f>IF(ROW()-34&lt;=COUNTA(Tbl_Companies[Company ID]),IFERROR(Companies!W27,""),"")</f>
        <v/>
      </c>
      <c r="K58" s="21">
        <f>IF(ROW()-34&lt;=COUNTA(Tbl_Companies[Company ID]),IFERROR(Companies!X27,""),"")</f>
        <v/>
      </c>
    </row>
    <row r="59">
      <c r="B59" s="19">
        <f>IF(ROW()-34&lt;=COUNTA(Tbl_Companies[Company ID]),IFERROR(Companies!C28,""),"")</f>
        <v/>
      </c>
      <c r="C59" s="19">
        <f>IF(ROW()-34&lt;=COUNTA(Tbl_Companies[Company ID]),IFERROR(Companies!M28,""),"")</f>
        <v/>
      </c>
      <c r="D59" s="19">
        <f>IF(ROW()-34&lt;=COUNTA(Tbl_Companies[Company ID]),IFERROR(Companies!O28,""),"")</f>
        <v/>
      </c>
      <c r="E59" s="19">
        <f>IF(ROW()-34&lt;=COUNTA(Tbl_Companies[Company ID]),IFERROR(Companies!P28,""),"")</f>
        <v/>
      </c>
      <c r="F59" s="19">
        <f>IF(ROW()-34&lt;=COUNTA(Tbl_Companies[Company ID]),IFERROR(Companies!Q28,""),"")</f>
        <v/>
      </c>
      <c r="G59" s="19">
        <f>IF(ROW()-34&lt;=COUNTA(Tbl_Companies[Company ID]),IFERROR(Companies!S28,""),"")</f>
        <v/>
      </c>
      <c r="H59" s="20">
        <f>IF(ROW()-34&lt;=COUNTA(Tbl_Companies[Company ID]),IFERROR(Companies!U28,""),"")</f>
        <v/>
      </c>
      <c r="I59" s="21">
        <f>IF(ROW()-34&lt;=COUNTA(Tbl_Companies[Company ID]),IFERROR(Companies!V28,""),"")</f>
        <v/>
      </c>
      <c r="J59" s="21">
        <f>IF(ROW()-34&lt;=COUNTA(Tbl_Companies[Company ID]),IFERROR(Companies!W28,""),"")</f>
        <v/>
      </c>
      <c r="K59" s="21">
        <f>IF(ROW()-34&lt;=COUNTA(Tbl_Companies[Company ID]),IFERROR(Companies!X28,""),"")</f>
        <v/>
      </c>
    </row>
  </sheetData>
  <mergeCells count="36">
    <mergeCell ref="H15:J16"/>
    <mergeCell ref="E28:G28"/>
    <mergeCell ref="B14:D14"/>
    <mergeCell ref="H10:I10"/>
    <mergeCell ref="E8:F8"/>
    <mergeCell ref="H23:J24"/>
    <mergeCell ref="B28:D28"/>
    <mergeCell ref="E10:F10"/>
    <mergeCell ref="H22:J22"/>
    <mergeCell ref="H28:J28"/>
    <mergeCell ref="H29:J30"/>
    <mergeCell ref="B2:O4"/>
    <mergeCell ref="B8:C8"/>
    <mergeCell ref="N8:O8"/>
    <mergeCell ref="E29:G30"/>
    <mergeCell ref="E23:G24"/>
    <mergeCell ref="E22:G22"/>
    <mergeCell ref="H18:J18"/>
    <mergeCell ref="K8:L8"/>
    <mergeCell ref="H14:J14"/>
    <mergeCell ref="E19:G20"/>
    <mergeCell ref="B23:D24"/>
    <mergeCell ref="B29:D30"/>
    <mergeCell ref="B10:C10"/>
    <mergeCell ref="N10:O10"/>
    <mergeCell ref="E18:G18"/>
    <mergeCell ref="E15:G16"/>
    <mergeCell ref="E14:G14"/>
    <mergeCell ref="B19:D20"/>
    <mergeCell ref="B15:D16"/>
    <mergeCell ref="B22:D22"/>
    <mergeCell ref="K10:L10"/>
    <mergeCell ref="H19:J20"/>
    <mergeCell ref="B18:D18"/>
    <mergeCell ref="B5:O5"/>
    <mergeCell ref="H8:I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6B7280"/>
    <outlinePr summaryBelow="1" summaryRight="1"/>
    <pageSetUpPr/>
  </sheetPr>
  <dimension ref="B1:AF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6" customWidth="1" min="2" max="2"/>
    <col width="17" customWidth="1" min="4" max="4"/>
    <col width="16" customWidth="1" min="6" max="6"/>
    <col width="16" customWidth="1" min="8" max="8"/>
    <col width="16" customWidth="1" min="10" max="10"/>
    <col width="16" customWidth="1" min="12" max="12"/>
    <col width="16" customWidth="1" min="14" max="14"/>
    <col width="17" customWidth="1" min="16" max="16"/>
    <col width="16" customWidth="1" min="18" max="18"/>
    <col width="17" customWidth="1" min="20" max="20"/>
    <col width="20" customWidth="1" min="22" max="22"/>
    <col width="20" customWidth="1" min="24" max="24"/>
    <col width="17" customWidth="1" min="26" max="26"/>
    <col width="17" customWidth="1" min="28" max="28"/>
    <col width="16" customWidth="1" min="30" max="30"/>
    <col width="16" customWidth="1" min="32" max="32"/>
  </cols>
  <sheetData>
    <row r="1" ht="24" customHeight="1">
      <c r="B1" s="22" t="inlineStr">
        <is>
          <t>⚙️  System Lookups — Master Reference Lists</t>
        </is>
      </c>
    </row>
    <row r="2">
      <c r="B2" s="3" t="inlineStr">
        <is>
          <t>Add a value below to make it available in every dropdown that uses this list. Do not delete the header row.</t>
        </is>
      </c>
    </row>
    <row r="3">
      <c r="B3" s="23" t="inlineStr">
        <is>
          <t>Departments</t>
        </is>
      </c>
      <c r="D3" s="23" t="inlineStr">
        <is>
          <t>Priority Levels</t>
        </is>
      </c>
      <c r="F3" s="23" t="inlineStr">
        <is>
          <t>Statuses</t>
        </is>
      </c>
      <c r="H3" s="23" t="inlineStr">
        <is>
          <t>Company Status</t>
        </is>
      </c>
      <c r="J3" s="23" t="inlineStr">
        <is>
          <t>Company Stage</t>
        </is>
      </c>
      <c r="L3" s="23" t="inlineStr">
        <is>
          <t>Task Types</t>
        </is>
      </c>
      <c r="N3" s="23" t="inlineStr">
        <is>
          <t>Currencies</t>
        </is>
      </c>
      <c r="P3" s="23" t="inlineStr">
        <is>
          <t>Time Categories</t>
        </is>
      </c>
      <c r="R3" s="23" t="inlineStr">
        <is>
          <t>Billable</t>
        </is>
      </c>
      <c r="T3" s="23" t="inlineStr">
        <is>
          <t>Employee Status</t>
        </is>
      </c>
      <c r="V3" s="23" t="inlineStr">
        <is>
          <t>Expense Categories</t>
        </is>
      </c>
      <c r="X3" s="23" t="inlineStr">
        <is>
          <t>Revenue Categories</t>
        </is>
      </c>
      <c r="Z3" s="23" t="inlineStr">
        <is>
          <t>Payment Methods</t>
        </is>
      </c>
      <c r="AB3" s="23" t="inlineStr">
        <is>
          <t>Approval Status</t>
        </is>
      </c>
      <c r="AD3" s="23" t="inlineStr">
        <is>
          <t>Payment Status</t>
        </is>
      </c>
      <c r="AF3" s="23" t="inlineStr">
        <is>
          <t>Invoice Status</t>
        </is>
      </c>
    </row>
    <row r="4">
      <c r="B4" s="19" t="inlineStr">
        <is>
          <t>Engineering</t>
        </is>
      </c>
      <c r="D4" s="19" t="inlineStr">
        <is>
          <t>Critical</t>
        </is>
      </c>
      <c r="F4" s="19" t="inlineStr">
        <is>
          <t>Not Started</t>
        </is>
      </c>
      <c r="H4" s="19" t="inlineStr">
        <is>
          <t>Active</t>
        </is>
      </c>
      <c r="J4" s="19" t="inlineStr">
        <is>
          <t>Idea</t>
        </is>
      </c>
      <c r="L4" s="19" t="inlineStr">
        <is>
          <t>Feature</t>
        </is>
      </c>
      <c r="N4" s="19" t="inlineStr">
        <is>
          <t>USD</t>
        </is>
      </c>
      <c r="P4" s="19" t="inlineStr">
        <is>
          <t>Deep Work</t>
        </is>
      </c>
      <c r="R4" s="19" t="inlineStr">
        <is>
          <t>Yes</t>
        </is>
      </c>
      <c r="T4" s="19" t="inlineStr">
        <is>
          <t>Active</t>
        </is>
      </c>
      <c r="V4" s="19" t="inlineStr">
        <is>
          <t>Software &amp; Tools</t>
        </is>
      </c>
      <c r="X4" s="19" t="inlineStr">
        <is>
          <t>Product Sales</t>
        </is>
      </c>
      <c r="Z4" s="19" t="inlineStr">
        <is>
          <t>Bank Transfer</t>
        </is>
      </c>
      <c r="AB4" s="19" t="inlineStr">
        <is>
          <t>Pending</t>
        </is>
      </c>
      <c r="AD4" s="19" t="inlineStr">
        <is>
          <t>Unpaid</t>
        </is>
      </c>
      <c r="AF4" s="19" t="inlineStr">
        <is>
          <t>Draft</t>
        </is>
      </c>
    </row>
    <row r="5">
      <c r="B5" s="19" t="inlineStr">
        <is>
          <t>Product</t>
        </is>
      </c>
      <c r="D5" s="19" t="inlineStr">
        <is>
          <t>High</t>
        </is>
      </c>
      <c r="F5" s="19" t="inlineStr">
        <is>
          <t>In Progress</t>
        </is>
      </c>
      <c r="H5" s="19" t="inlineStr">
        <is>
          <t>Paused</t>
        </is>
      </c>
      <c r="J5" s="19" t="inlineStr">
        <is>
          <t>Pre-Launch</t>
        </is>
      </c>
      <c r="L5" s="19" t="inlineStr">
        <is>
          <t>Bug</t>
        </is>
      </c>
      <c r="N5" s="19" t="inlineStr">
        <is>
          <t>GBP</t>
        </is>
      </c>
      <c r="P5" s="19" t="inlineStr">
        <is>
          <t>Shallow Work</t>
        </is>
      </c>
      <c r="R5" s="19" t="inlineStr">
        <is>
          <t>No</t>
        </is>
      </c>
      <c r="T5" s="19" t="inlineStr">
        <is>
          <t>Inactive</t>
        </is>
      </c>
      <c r="V5" s="19" t="inlineStr">
        <is>
          <t>Payroll</t>
        </is>
      </c>
      <c r="X5" s="19" t="inlineStr">
        <is>
          <t>Subscription Revenue</t>
        </is>
      </c>
      <c r="Z5" s="19" t="inlineStr">
        <is>
          <t>Credit Card</t>
        </is>
      </c>
      <c r="AB5" s="19" t="inlineStr">
        <is>
          <t>Approved</t>
        </is>
      </c>
      <c r="AD5" s="19" t="inlineStr">
        <is>
          <t>Paid</t>
        </is>
      </c>
      <c r="AF5" s="19" t="inlineStr">
        <is>
          <t>Sent</t>
        </is>
      </c>
    </row>
    <row r="6">
      <c r="B6" s="19" t="inlineStr">
        <is>
          <t>Design</t>
        </is>
      </c>
      <c r="D6" s="19" t="inlineStr">
        <is>
          <t>Medium</t>
        </is>
      </c>
      <c r="F6" s="19" t="inlineStr">
        <is>
          <t>Blocked</t>
        </is>
      </c>
      <c r="H6" s="19" t="inlineStr">
        <is>
          <t>Archived</t>
        </is>
      </c>
      <c r="J6" s="19" t="inlineStr">
        <is>
          <t>Launched</t>
        </is>
      </c>
      <c r="L6" s="19" t="inlineStr">
        <is>
          <t>Research</t>
        </is>
      </c>
      <c r="N6" s="19" t="inlineStr">
        <is>
          <t>EUR</t>
        </is>
      </c>
      <c r="P6" s="19" t="inlineStr">
        <is>
          <t>Meeting</t>
        </is>
      </c>
      <c r="T6" s="19" t="inlineStr">
        <is>
          <t>On Leave</t>
        </is>
      </c>
      <c r="V6" s="19" t="inlineStr">
        <is>
          <t>Contractors</t>
        </is>
      </c>
      <c r="X6" s="19" t="inlineStr">
        <is>
          <t>Service Revenue</t>
        </is>
      </c>
      <c r="Z6" s="19" t="inlineStr">
        <is>
          <t>Debit Card</t>
        </is>
      </c>
      <c r="AB6" s="19" t="inlineStr">
        <is>
          <t>Rejected</t>
        </is>
      </c>
      <c r="AD6" s="19" t="inlineStr">
        <is>
          <t>Partially Paid</t>
        </is>
      </c>
      <c r="AF6" s="19" t="inlineStr">
        <is>
          <t>Paid</t>
        </is>
      </c>
    </row>
    <row r="7">
      <c r="B7" s="19" t="inlineStr">
        <is>
          <t>Marketing</t>
        </is>
      </c>
      <c r="D7" s="19" t="inlineStr">
        <is>
          <t>Low</t>
        </is>
      </c>
      <c r="F7" s="19" t="inlineStr">
        <is>
          <t>In Review</t>
        </is>
      </c>
      <c r="H7" s="19" t="inlineStr">
        <is>
          <t>Exploring</t>
        </is>
      </c>
      <c r="J7" s="19" t="inlineStr">
        <is>
          <t>Growth</t>
        </is>
      </c>
      <c r="L7" s="19" t="inlineStr">
        <is>
          <t>Admin</t>
        </is>
      </c>
      <c r="N7" s="19" t="inlineStr">
        <is>
          <t>PKR</t>
        </is>
      </c>
      <c r="P7" s="19" t="inlineStr">
        <is>
          <t>Admin</t>
        </is>
      </c>
      <c r="V7" s="19" t="inlineStr">
        <is>
          <t>Marketing</t>
        </is>
      </c>
      <c r="X7" s="19" t="inlineStr">
        <is>
          <t>Consulting</t>
        </is>
      </c>
      <c r="Z7" s="19" t="inlineStr">
        <is>
          <t>Cash</t>
        </is>
      </c>
      <c r="AD7" s="19" t="inlineStr">
        <is>
          <t>Overdue</t>
        </is>
      </c>
      <c r="AF7" s="19" t="inlineStr">
        <is>
          <t>Overdue</t>
        </is>
      </c>
    </row>
    <row r="8">
      <c r="B8" s="19" t="inlineStr">
        <is>
          <t>Sales</t>
        </is>
      </c>
      <c r="F8" s="19" t="inlineStr">
        <is>
          <t>Completed</t>
        </is>
      </c>
      <c r="J8" s="19" t="inlineStr">
        <is>
          <t>Scaling</t>
        </is>
      </c>
      <c r="L8" s="19" t="inlineStr">
        <is>
          <t>Meeting</t>
        </is>
      </c>
      <c r="N8" s="19" t="inlineStr">
        <is>
          <t>AED</t>
        </is>
      </c>
      <c r="P8" s="19" t="inlineStr">
        <is>
          <t>Learning</t>
        </is>
      </c>
      <c r="V8" s="19" t="inlineStr">
        <is>
          <t>Travel</t>
        </is>
      </c>
      <c r="X8" s="19" t="inlineStr">
        <is>
          <t>Licensing</t>
        </is>
      </c>
      <c r="Z8" s="19" t="inlineStr">
        <is>
          <t>PayPal</t>
        </is>
      </c>
      <c r="AF8" s="19" t="inlineStr">
        <is>
          <t>Cancelled</t>
        </is>
      </c>
    </row>
    <row r="9">
      <c r="B9" s="19" t="inlineStr">
        <is>
          <t>Finance</t>
        </is>
      </c>
      <c r="F9" s="19" t="inlineStr">
        <is>
          <t>Cancelled</t>
        </is>
      </c>
      <c r="J9" s="19" t="inlineStr">
        <is>
          <t>Mature</t>
        </is>
      </c>
      <c r="L9" s="19" t="inlineStr">
        <is>
          <t>Content</t>
        </is>
      </c>
      <c r="N9" s="19" t="inlineStr">
        <is>
          <t>INR</t>
        </is>
      </c>
      <c r="V9" s="19" t="inlineStr">
        <is>
          <t>Office &amp; Supplies</t>
        </is>
      </c>
      <c r="X9" s="19" t="inlineStr">
        <is>
          <t>Interest Income</t>
        </is>
      </c>
      <c r="Z9" s="19" t="inlineStr">
        <is>
          <t>Stripe</t>
        </is>
      </c>
    </row>
    <row r="10">
      <c r="B10" s="19" t="inlineStr">
        <is>
          <t>Operations</t>
        </is>
      </c>
      <c r="F10" s="19" t="inlineStr">
        <is>
          <t>On Hold</t>
        </is>
      </c>
      <c r="L10" s="19" t="inlineStr">
        <is>
          <t>Design</t>
        </is>
      </c>
      <c r="N10" s="19" t="inlineStr">
        <is>
          <t>CAD</t>
        </is>
      </c>
      <c r="V10" s="19" t="inlineStr">
        <is>
          <t>Legal &amp; Professional</t>
        </is>
      </c>
      <c r="X10" s="19" t="inlineStr">
        <is>
          <t>Other Income</t>
        </is>
      </c>
      <c r="Z10" s="19" t="inlineStr">
        <is>
          <t>Check</t>
        </is>
      </c>
    </row>
    <row r="11">
      <c r="B11" s="19" t="inlineStr">
        <is>
          <t>Customer Success</t>
        </is>
      </c>
      <c r="L11" s="19" t="inlineStr">
        <is>
          <t>Ops</t>
        </is>
      </c>
      <c r="N11" s="19" t="inlineStr">
        <is>
          <t>AUD</t>
        </is>
      </c>
      <c r="V11" s="19" t="inlineStr">
        <is>
          <t>Rent &amp; Utilities</t>
        </is>
      </c>
      <c r="Z11" s="19" t="inlineStr">
        <is>
          <t>Wire Transfer</t>
        </is>
      </c>
    </row>
    <row r="12">
      <c r="B12" s="19" t="inlineStr">
        <is>
          <t>Legal</t>
        </is>
      </c>
      <c r="V12" s="19" t="inlineStr">
        <is>
          <t>Equipment</t>
        </is>
      </c>
    </row>
    <row r="13">
      <c r="B13" s="19" t="inlineStr">
        <is>
          <t>HR</t>
        </is>
      </c>
      <c r="V13" s="19" t="inlineStr">
        <is>
          <t>Shipping &amp; Fulfillment</t>
        </is>
      </c>
    </row>
    <row r="14">
      <c r="V14" s="19" t="inlineStr">
        <is>
          <t>Materials &amp; Inventory</t>
        </is>
      </c>
    </row>
    <row r="15">
      <c r="V15" s="19" t="inlineStr">
        <is>
          <t>Bank &amp; Payment Fees</t>
        </is>
      </c>
    </row>
    <row r="16">
      <c r="V16" s="19" t="inlineStr">
        <is>
          <t>Taxes</t>
        </is>
      </c>
    </row>
    <row r="17">
      <c r="V17" s="19" t="inlineStr">
        <is>
          <t>Other</t>
        </is>
      </c>
    </row>
  </sheetData>
  <pageMargins left="0.75" right="0.75" top="1" bottom="1" header="0.5" footer="0.5"/>
  <tableParts count="1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</tableParts>
</worksheet>
</file>

<file path=xl/worksheets/sheet3.xml><?xml version="1.0" encoding="utf-8"?>
<worksheet xmlns="http://schemas.openxmlformats.org/spreadsheetml/2006/main">
  <sheetPr>
    <tabColor rgb="000D9488"/>
    <outlinePr summaryBelow="1" summaryRight="1"/>
    <pageSetUpPr/>
  </sheetPr>
  <dimension ref="B1:K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6" customWidth="1" min="3" max="3"/>
    <col width="20" customWidth="1" min="4" max="4"/>
    <col width="16" customWidth="1" min="5" max="5"/>
    <col width="24" customWidth="1" min="6" max="6"/>
    <col width="16" customWidth="1" min="7" max="7"/>
    <col width="14" customWidth="1" min="8" max="8"/>
    <col width="12" customWidth="1" min="9" max="9"/>
    <col width="13" customWidth="1" min="10" max="10"/>
    <col width="28" customWidth="1" min="11" max="11"/>
  </cols>
  <sheetData>
    <row r="1" ht="24" customHeight="1">
      <c r="B1" s="22" t="inlineStr">
        <is>
          <t>🏭  Vendors — Supplier Directory</t>
        </is>
      </c>
    </row>
    <row r="2">
      <c r="B2" s="3" t="inlineStr">
        <is>
          <t>One row per vendor. Expense Count and Total Spend are calculated automatically from the Expenses table.</t>
        </is>
      </c>
    </row>
    <row r="3" ht="32" customHeight="1">
      <c r="B3" s="24" t="inlineStr">
        <is>
          <t>Vendor ID</t>
        </is>
      </c>
      <c r="C3" s="24" t="inlineStr">
        <is>
          <t>Vendor Name</t>
        </is>
      </c>
      <c r="D3" s="24" t="inlineStr">
        <is>
          <t>Category</t>
        </is>
      </c>
      <c r="E3" s="24" t="inlineStr">
        <is>
          <t>Contact Name</t>
        </is>
      </c>
      <c r="F3" s="24" t="inlineStr">
        <is>
          <t>Email</t>
        </is>
      </c>
      <c r="G3" s="24" t="inlineStr">
        <is>
          <t>Phone</t>
        </is>
      </c>
      <c r="H3" s="24" t="inlineStr">
        <is>
          <t>Payment Terms</t>
        </is>
      </c>
      <c r="I3" s="24" t="inlineStr">
        <is>
          <t>Expense Count</t>
        </is>
      </c>
      <c r="J3" s="24" t="inlineStr">
        <is>
          <t>Total Spend</t>
        </is>
      </c>
      <c r="K3" s="24" t="inlineStr">
        <is>
          <t>Notes</t>
        </is>
      </c>
    </row>
    <row r="4">
      <c r="B4" s="19">
        <f>"VEN-"&amp;TEXT(SUBTOTAL(103,$C$4:C4),"0000")</f>
        <v/>
      </c>
      <c r="C4" s="19" t="inlineStr">
        <is>
          <t>AWS</t>
        </is>
      </c>
      <c r="D4" s="19" t="inlineStr">
        <is>
          <t>Software &amp; Tools</t>
        </is>
      </c>
      <c r="E4" s="19" t="inlineStr">
        <is>
          <t>-</t>
        </is>
      </c>
      <c r="F4" s="19" t="inlineStr">
        <is>
          <t>billing@aws.amazon.com</t>
        </is>
      </c>
      <c r="G4" s="19" t="inlineStr">
        <is>
          <t>-</t>
        </is>
      </c>
      <c r="H4" s="19" t="inlineStr">
        <is>
          <t>Net 30</t>
        </is>
      </c>
      <c r="I4" s="19">
        <f>COUNTIFS(Tbl_Expenses[Vendor],C4)</f>
        <v/>
      </c>
      <c r="J4" s="21">
        <f>ROUND(SUMIFS(Tbl_Expenses[Total],Tbl_Expenses[Vendor],C4),2)</f>
        <v/>
      </c>
      <c r="K4" s="19" t="inlineStr">
        <is>
          <t>Cloud hosting for Nimbus Analytics</t>
        </is>
      </c>
    </row>
    <row r="5">
      <c r="B5" s="19">
        <f>"VEN-"&amp;TEXT(SUBTOTAL(103,$C$4:C5),"0000")</f>
        <v/>
      </c>
      <c r="C5" s="19" t="inlineStr">
        <is>
          <t>Figma</t>
        </is>
      </c>
      <c r="D5" s="19" t="inlineStr">
        <is>
          <t>Software &amp; Tools</t>
        </is>
      </c>
      <c r="E5" s="19" t="inlineStr">
        <is>
          <t>-</t>
        </is>
      </c>
      <c r="F5" s="19" t="inlineStr">
        <is>
          <t>billing@figma.com</t>
        </is>
      </c>
      <c r="G5" s="19" t="inlineStr">
        <is>
          <t>-</t>
        </is>
      </c>
      <c r="H5" s="19" t="inlineStr">
        <is>
          <t>Net 15</t>
        </is>
      </c>
      <c r="I5" s="19">
        <f>COUNTIFS(Tbl_Expenses[Vendor],C5)</f>
        <v/>
      </c>
      <c r="J5" s="21">
        <f>ROUND(SUMIFS(Tbl_Expenses[Total],Tbl_Expenses[Vendor],C5),2)</f>
        <v/>
      </c>
      <c r="K5" s="19" t="inlineStr">
        <is>
          <t>Design tooling</t>
        </is>
      </c>
    </row>
    <row r="6">
      <c r="B6" s="19">
        <f>"VEN-"&amp;TEXT(SUBTOTAL(103,$C$4:C6),"0000")</f>
        <v/>
      </c>
      <c r="C6" s="19" t="inlineStr">
        <is>
          <t>Ceramics Supply Co</t>
        </is>
      </c>
      <c r="D6" s="19" t="inlineStr">
        <is>
          <t>Materials &amp; Inventory</t>
        </is>
      </c>
      <c r="E6" s="19" t="inlineStr">
        <is>
          <t>Tom Reyes</t>
        </is>
      </c>
      <c r="F6" s="19" t="inlineStr">
        <is>
          <t>sales@ceramicsupply.com</t>
        </is>
      </c>
      <c r="G6" s="19" t="inlineStr">
        <is>
          <t>+44 161 555 0110</t>
        </is>
      </c>
      <c r="H6" s="19" t="inlineStr">
        <is>
          <t>Net 30</t>
        </is>
      </c>
      <c r="I6" s="19">
        <f>COUNTIFS(Tbl_Expenses[Vendor],C6)</f>
        <v/>
      </c>
      <c r="J6" s="21">
        <f>ROUND(SUMIFS(Tbl_Expenses[Total],Tbl_Expenses[Vendor],C6),2)</f>
        <v/>
      </c>
      <c r="K6" s="19" t="inlineStr">
        <is>
          <t>Glaze &amp; clay materials for Kiln &amp; Co</t>
        </is>
      </c>
    </row>
    <row r="7">
      <c r="B7" s="19">
        <f>"VEN-"&amp;TEXT(SUBTOTAL(103,$C$4:C7),"0000")</f>
        <v/>
      </c>
      <c r="C7" s="19" t="inlineStr">
        <is>
          <t>Meta Ads</t>
        </is>
      </c>
      <c r="D7" s="19" t="inlineStr">
        <is>
          <t>Marketing</t>
        </is>
      </c>
      <c r="E7" s="19" t="inlineStr">
        <is>
          <t>-</t>
        </is>
      </c>
      <c r="F7" s="19" t="inlineStr">
        <is>
          <t>support@meta.com</t>
        </is>
      </c>
      <c r="G7" s="19" t="inlineStr">
        <is>
          <t>-</t>
        </is>
      </c>
      <c r="H7" s="19" t="inlineStr">
        <is>
          <t>Due on receipt</t>
        </is>
      </c>
      <c r="I7" s="19">
        <f>COUNTIFS(Tbl_Expenses[Vendor],C7)</f>
        <v/>
      </c>
      <c r="J7" s="21">
        <f>ROUND(SUMIFS(Tbl_Expenses[Total],Tbl_Expenses[Vendor],C7),2)</f>
        <v/>
      </c>
      <c r="K7" s="19" t="inlineStr">
        <is>
          <t>Paid social campaigns</t>
        </is>
      </c>
    </row>
    <row r="8">
      <c r="B8" s="19">
        <f>"VEN-"&amp;TEXT(SUBTOTAL(103,$C$4:C8),"0000")</f>
        <v/>
      </c>
      <c r="C8" s="19" t="inlineStr">
        <is>
          <t>WeWork</t>
        </is>
      </c>
      <c r="D8" s="19" t="inlineStr">
        <is>
          <t>Rent &amp; Utilities</t>
        </is>
      </c>
      <c r="E8" s="19" t="inlineStr">
        <is>
          <t>-</t>
        </is>
      </c>
      <c r="F8" s="19" t="inlineStr">
        <is>
          <t>billing@wework.com</t>
        </is>
      </c>
      <c r="G8" s="19" t="inlineStr">
        <is>
          <t>-</t>
        </is>
      </c>
      <c r="H8" s="19" t="inlineStr">
        <is>
          <t>Net 15</t>
        </is>
      </c>
      <c r="I8" s="19">
        <f>COUNTIFS(Tbl_Expenses[Vendor],C8)</f>
        <v/>
      </c>
      <c r="J8" s="21">
        <f>ROUND(SUMIFS(Tbl_Expenses[Total],Tbl_Expenses[Vendor],C8),2)</f>
        <v/>
      </c>
      <c r="K8" s="19" t="inlineStr">
        <is>
          <t>Shared office space</t>
        </is>
      </c>
    </row>
    <row r="9">
      <c r="B9" s="19">
        <f>"VEN-"&amp;TEXT(SUBTOTAL(103,$C$4:C9),"0000")</f>
        <v/>
      </c>
      <c r="C9" s="19" t="inlineStr">
        <is>
          <t>Upwork Contractor - J. Lee</t>
        </is>
      </c>
      <c r="D9" s="19" t="inlineStr">
        <is>
          <t>Contractors</t>
        </is>
      </c>
      <c r="E9" s="19" t="inlineStr">
        <is>
          <t>Jamie Lee</t>
        </is>
      </c>
      <c r="F9" s="19" t="inlineStr">
        <is>
          <t>jamie.lee@example.com</t>
        </is>
      </c>
      <c r="G9" s="19" t="inlineStr">
        <is>
          <t>-</t>
        </is>
      </c>
      <c r="H9" s="19" t="inlineStr">
        <is>
          <t>Net 15</t>
        </is>
      </c>
      <c r="I9" s="19">
        <f>COUNTIFS(Tbl_Expenses[Vendor],C9)</f>
        <v/>
      </c>
      <c r="J9" s="21">
        <f>ROUND(SUMIFS(Tbl_Expenses[Total],Tbl_Expenses[Vendor],C9),2)</f>
        <v/>
      </c>
      <c r="K9" s="19" t="inlineStr">
        <is>
          <t>Freelance dev support</t>
        </is>
      </c>
    </row>
  </sheetData>
  <dataValidations count="1">
    <dataValidation sqref="D4:D1000" showDropDown="0" showInputMessage="0" showErrorMessage="0" allowBlank="1" errorTitle="Invalid entry" error="Please choose a value from the dropdown list." type="list">
      <formula1>=List_ExpenseCategories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0D9488"/>
    <outlinePr summaryBelow="1" summaryRight="1"/>
    <pageSetUpPr/>
  </sheetPr>
  <dimension ref="B1:AE6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2" customWidth="1" min="3" max="3"/>
    <col width="24" customWidth="1" min="4" max="4"/>
    <col width="18" customWidth="1" min="5" max="5"/>
    <col width="14" customWidth="1" min="6" max="6"/>
    <col width="26" customWidth="1" min="7" max="7"/>
    <col width="24" customWidth="1" min="8" max="8"/>
    <col width="16" customWidth="1" min="9" max="9"/>
    <col width="12" customWidth="1" min="10" max="10"/>
    <col width="10" customWidth="1" min="11" max="11"/>
    <col width="18" customWidth="1" min="12" max="12"/>
    <col width="12" customWidth="1" min="13" max="13"/>
    <col width="13" customWidth="1" min="14" max="14"/>
    <col width="14" customWidth="1" min="15" max="15"/>
    <col width="11" customWidth="1" min="16" max="16"/>
    <col width="13" customWidth="1" min="17" max="17"/>
    <col width="13" customWidth="1" min="18" max="18"/>
    <col width="11" customWidth="1" min="19" max="19"/>
    <col width="14" customWidth="1" min="20" max="20"/>
    <col width="12" customWidth="1" min="21" max="21"/>
    <col width="13" customWidth="1" min="22" max="22"/>
    <col width="13" customWidth="1" min="23" max="23"/>
    <col width="12" customWidth="1" min="24" max="24"/>
    <col width="12" customWidth="1" min="25" max="25"/>
    <col width="14" customWidth="1" min="26" max="26"/>
    <col width="15" customWidth="1" min="27" max="27"/>
    <col width="13" customWidth="1" min="28" max="28"/>
    <col width="13" customWidth="1" min="29" max="29"/>
    <col width="17" customWidth="1" min="30" max="30"/>
    <col width="30" customWidth="1" min="31" max="31"/>
  </cols>
  <sheetData>
    <row r="1" ht="24" customHeight="1">
      <c r="B1" s="22" t="inlineStr">
        <is>
          <t>🏢  Companies — Master Registry</t>
        </is>
      </c>
    </row>
    <row r="2">
      <c r="B2" s="3" t="inlineStr">
        <is>
          <t>One row per company. KPI columns (right side) are calculated automatically from Projects, Tasks, and Time Log.</t>
        </is>
      </c>
    </row>
    <row r="3" ht="32" customHeight="1">
      <c r="B3" s="24" t="inlineStr">
        <is>
          <t>Company ID</t>
        </is>
      </c>
      <c r="C3" s="24" t="inlineStr">
        <is>
          <t>Company Name</t>
        </is>
      </c>
      <c r="D3" s="24" t="inlineStr">
        <is>
          <t>Legal Name</t>
        </is>
      </c>
      <c r="E3" s="24" t="inlineStr">
        <is>
          <t>Industry</t>
        </is>
      </c>
      <c r="F3" s="24" t="inlineStr">
        <is>
          <t>Business Type</t>
        </is>
      </c>
      <c r="G3" s="24" t="inlineStr">
        <is>
          <t>Website</t>
        </is>
      </c>
      <c r="H3" s="24" t="inlineStr">
        <is>
          <t>Email</t>
        </is>
      </c>
      <c r="I3" s="24" t="inlineStr">
        <is>
          <t>Phone</t>
        </is>
      </c>
      <c r="J3" s="24" t="inlineStr">
        <is>
          <t>Country</t>
        </is>
      </c>
      <c r="K3" s="24" t="inlineStr">
        <is>
          <t>Currency</t>
        </is>
      </c>
      <c r="L3" s="24" t="inlineStr">
        <is>
          <t>Founder</t>
        </is>
      </c>
      <c r="M3" s="24" t="inlineStr">
        <is>
          <t>Status</t>
        </is>
      </c>
      <c r="N3" s="24" t="inlineStr">
        <is>
          <t>Date Started</t>
        </is>
      </c>
      <c r="O3" s="24" t="inlineStr">
        <is>
          <t>Stage</t>
        </is>
      </c>
      <c r="P3" s="24" t="inlineStr">
        <is>
          <t>Employees</t>
        </is>
      </c>
      <c r="Q3" s="24" t="inlineStr">
        <is>
          <t>Total Projects</t>
        </is>
      </c>
      <c r="R3" s="24" t="inlineStr">
        <is>
          <t>Active Projects</t>
        </is>
      </c>
      <c r="S3" s="24" t="inlineStr">
        <is>
          <t>Open Tasks</t>
        </is>
      </c>
      <c r="T3" s="24" t="inlineStr">
        <is>
          <t>Completed Tasks</t>
        </is>
      </c>
      <c r="U3" s="24" t="inlineStr">
        <is>
          <t>Hours Logged</t>
        </is>
      </c>
      <c r="V3" s="24" t="inlineStr">
        <is>
          <t>Total Revenue</t>
        </is>
      </c>
      <c r="W3" s="24" t="inlineStr">
        <is>
          <t>Total Expenses</t>
        </is>
      </c>
      <c r="X3" s="24" t="inlineStr">
        <is>
          <t>Total Profit</t>
        </is>
      </c>
      <c r="Y3" s="24" t="inlineStr">
        <is>
          <t>Profit Margin</t>
        </is>
      </c>
      <c r="Z3" s="24" t="inlineStr">
        <is>
          <t>Monthly Revenue</t>
        </is>
      </c>
      <c r="AA3" s="24" t="inlineStr">
        <is>
          <t>Monthly Expenses</t>
        </is>
      </c>
      <c r="AB3" s="24" t="inlineStr">
        <is>
          <t>Monthly Profit</t>
        </is>
      </c>
      <c r="AC3" s="24" t="inlineStr">
        <is>
          <t>Revenue / Hour</t>
        </is>
      </c>
      <c r="AD3" s="24" t="inlineStr">
        <is>
          <t>Outstanding Reimbursements</t>
        </is>
      </c>
      <c r="AE3" s="24" t="inlineStr">
        <is>
          <t>Notes</t>
        </is>
      </c>
    </row>
    <row r="4">
      <c r="B4" s="19">
        <f>"COMP-"&amp;TEXT(SUBTOTAL(103,$C$4:C4),"0000")</f>
        <v/>
      </c>
      <c r="C4" s="19" t="inlineStr">
        <is>
          <t>Nimbus Analytics</t>
        </is>
      </c>
      <c r="D4" s="19" t="inlineStr">
        <is>
          <t>Nimbus Analytics Inc.</t>
        </is>
      </c>
      <c r="E4" s="19" t="inlineStr">
        <is>
          <t>SaaS / Data</t>
        </is>
      </c>
      <c r="F4" s="19" t="inlineStr">
        <is>
          <t>B2B</t>
        </is>
      </c>
      <c r="G4" s="19" t="inlineStr">
        <is>
          <t>https://nimbusanalytics.io</t>
        </is>
      </c>
      <c r="H4" s="19" t="inlineStr">
        <is>
          <t>hello@nimbusanalytics.io</t>
        </is>
      </c>
      <c r="I4" s="19" t="inlineStr">
        <is>
          <t>+1 415 555 0134</t>
        </is>
      </c>
      <c r="J4" s="19" t="inlineStr">
        <is>
          <t>USA</t>
        </is>
      </c>
      <c r="K4" s="19" t="inlineStr">
        <is>
          <t>USD</t>
        </is>
      </c>
      <c r="L4" s="19" t="inlineStr">
        <is>
          <t>Humayra Shajahan</t>
        </is>
      </c>
      <c r="M4" s="19" t="inlineStr">
        <is>
          <t>Active</t>
        </is>
      </c>
      <c r="N4" s="25" t="n">
        <v>44936</v>
      </c>
      <c r="O4" s="19" t="inlineStr">
        <is>
          <t>Growth</t>
        </is>
      </c>
      <c r="P4" s="19">
        <f>COUNTIFS(Tbl_Employees[Primary Company],C4)</f>
        <v/>
      </c>
      <c r="Q4" s="19">
        <f>COUNTIFS(Tbl_Projects[Company],C4)</f>
        <v/>
      </c>
      <c r="R4" s="19">
        <f>COUNTIFS(Tbl_Projects[Company],C4,Tbl_Projects[Status],"&lt;&gt;Completed",Tbl_Projects[Status],"&lt;&gt;Cancelled")</f>
        <v/>
      </c>
      <c r="S4" s="19">
        <f>COUNTIFS(Tbl_Tasks[Company],C4,Tbl_Tasks[Status],"&lt;&gt;Completed",Tbl_Tasks[Status],"&lt;&gt;Cancelled")</f>
        <v/>
      </c>
      <c r="T4" s="19">
        <f>COUNTIFS(Tbl_Tasks[Company],C4,Tbl_Tasks[Status],"Completed")</f>
        <v/>
      </c>
      <c r="U4" s="20">
        <f>ROUND(SUMIFS(Tbl_TimeLog[Total Hours],Tbl_TimeLog[Company],C4),1)</f>
        <v/>
      </c>
      <c r="V4" s="21">
        <f>ROUND(SUMIFS(Tbl_Revenue[Amount],Tbl_Revenue[Company],C4),2)</f>
        <v/>
      </c>
      <c r="W4" s="21">
        <f>ROUND(SUMIFS(Tbl_Expenses[Total],Tbl_Expenses[Company],C4),2)</f>
        <v/>
      </c>
      <c r="X4" s="21">
        <f>ROUND(V4-W4,2)</f>
        <v/>
      </c>
      <c r="Y4" s="26">
        <f>IF(V4=0,0,X4/V4)</f>
        <v/>
      </c>
      <c r="Z4" s="21">
        <f>ROUND(SUMIFS(Tbl_Revenue[Amount],Tbl_Revenue[Company],C4,Tbl_Revenue[Date],"&gt;="&amp;DATE(YEAR(TODAY()),MONTH(TODAY()),1)),2)</f>
        <v/>
      </c>
      <c r="AA4" s="21">
        <f>ROUND(SUMIFS(Tbl_Expenses[Total],Tbl_Expenses[Company],C4,Tbl_Expenses[Date],"&gt;="&amp;DATE(YEAR(TODAY()),MONTH(TODAY()),1)),2)</f>
        <v/>
      </c>
      <c r="AB4" s="21">
        <f>ROUND(Z4-AA4,2)</f>
        <v/>
      </c>
      <c r="AC4" s="21">
        <f>IF(U4=0,0,ROUND(V4/U4,2))</f>
        <v/>
      </c>
      <c r="AD4" s="21">
        <f>ROUND(SUMIFS(Tbl_Expenses[Total],Tbl_Expenses[Company],C4,Tbl_Expenses[Reimbursable],"Yes",Tbl_Expenses[Reimbursed],"No"),2)</f>
        <v/>
      </c>
      <c r="AE4" s="19" t="inlineStr">
        <is>
          <t>Core analytics platform, main focus company.</t>
        </is>
      </c>
    </row>
    <row r="5">
      <c r="B5" s="19">
        <f>"COMP-"&amp;TEXT(SUBTOTAL(103,$C$4:C5),"0000")</f>
        <v/>
      </c>
      <c r="C5" s="19" t="inlineStr">
        <is>
          <t>Kiln &amp; Co</t>
        </is>
      </c>
      <c r="D5" s="19" t="inlineStr">
        <is>
          <t>Kiln &amp; Co Ltd.</t>
        </is>
      </c>
      <c r="E5" s="19" t="inlineStr">
        <is>
          <t>D2C / Home Goods</t>
        </is>
      </c>
      <c r="F5" s="19" t="inlineStr">
        <is>
          <t>B2C</t>
        </is>
      </c>
      <c r="G5" s="19" t="inlineStr">
        <is>
          <t>https://kilnandco.com</t>
        </is>
      </c>
      <c r="H5" s="19" t="inlineStr">
        <is>
          <t>team@kilnandco.com</t>
        </is>
      </c>
      <c r="I5" s="19" t="inlineStr">
        <is>
          <t>+44 20 7946 0958</t>
        </is>
      </c>
      <c r="J5" s="19" t="inlineStr">
        <is>
          <t>UK</t>
        </is>
      </c>
      <c r="K5" s="19" t="inlineStr">
        <is>
          <t>GBP</t>
        </is>
      </c>
      <c r="L5" s="19" t="inlineStr">
        <is>
          <t>Humayra Shajahan</t>
        </is>
      </c>
      <c r="M5" s="19" t="inlineStr">
        <is>
          <t>Active</t>
        </is>
      </c>
      <c r="N5" s="25" t="n">
        <v>45296</v>
      </c>
      <c r="O5" s="19" t="inlineStr">
        <is>
          <t>Launched</t>
        </is>
      </c>
      <c r="P5" s="19">
        <f>COUNTIFS(Tbl_Employees[Primary Company],C5)</f>
        <v/>
      </c>
      <c r="Q5" s="19">
        <f>COUNTIFS(Tbl_Projects[Company],C5)</f>
        <v/>
      </c>
      <c r="R5" s="19">
        <f>COUNTIFS(Tbl_Projects[Company],C5,Tbl_Projects[Status],"&lt;&gt;Completed",Tbl_Projects[Status],"&lt;&gt;Cancelled")</f>
        <v/>
      </c>
      <c r="S5" s="19">
        <f>COUNTIFS(Tbl_Tasks[Company],C5,Tbl_Tasks[Status],"&lt;&gt;Completed",Tbl_Tasks[Status],"&lt;&gt;Cancelled")</f>
        <v/>
      </c>
      <c r="T5" s="19">
        <f>COUNTIFS(Tbl_Tasks[Company],C5,Tbl_Tasks[Status],"Completed")</f>
        <v/>
      </c>
      <c r="U5" s="20">
        <f>ROUND(SUMIFS(Tbl_TimeLog[Total Hours],Tbl_TimeLog[Company],C5),1)</f>
        <v/>
      </c>
      <c r="V5" s="21">
        <f>ROUND(SUMIFS(Tbl_Revenue[Amount],Tbl_Revenue[Company],C5),2)</f>
        <v/>
      </c>
      <c r="W5" s="21">
        <f>ROUND(SUMIFS(Tbl_Expenses[Total],Tbl_Expenses[Company],C5),2)</f>
        <v/>
      </c>
      <c r="X5" s="21">
        <f>ROUND(V5-W5,2)</f>
        <v/>
      </c>
      <c r="Y5" s="26">
        <f>IF(V5=0,0,X5/V5)</f>
        <v/>
      </c>
      <c r="Z5" s="21">
        <f>ROUND(SUMIFS(Tbl_Revenue[Amount],Tbl_Revenue[Company],C5,Tbl_Revenue[Date],"&gt;="&amp;DATE(YEAR(TODAY()),MONTH(TODAY()),1)),2)</f>
        <v/>
      </c>
      <c r="AA5" s="21">
        <f>ROUND(SUMIFS(Tbl_Expenses[Total],Tbl_Expenses[Company],C5,Tbl_Expenses[Date],"&gt;="&amp;DATE(YEAR(TODAY()),MONTH(TODAY()),1)),2)</f>
        <v/>
      </c>
      <c r="AB5" s="21">
        <f>ROUND(Z5-AA5,2)</f>
        <v/>
      </c>
      <c r="AC5" s="21">
        <f>IF(U5=0,0,ROUND(V5/U5,2))</f>
        <v/>
      </c>
      <c r="AD5" s="21">
        <f>ROUND(SUMIFS(Tbl_Expenses[Total],Tbl_Expenses[Company],C5,Tbl_Expenses[Reimbursable],"Yes",Tbl_Expenses[Reimbursed],"No"),2)</f>
        <v/>
      </c>
      <c r="AE5" s="19" t="inlineStr">
        <is>
          <t>Ceramics &amp; homeware brand, seasonal demand.</t>
        </is>
      </c>
    </row>
    <row r="6">
      <c r="B6" s="19">
        <f>"COMP-"&amp;TEXT(SUBTOTAL(103,$C$4:C6),"0000")</f>
        <v/>
      </c>
      <c r="C6" s="19" t="inlineStr">
        <is>
          <t>Pathlight Tutors</t>
        </is>
      </c>
      <c r="D6" s="19" t="inlineStr">
        <is>
          <t>Pathlight Education LLC</t>
        </is>
      </c>
      <c r="E6" s="19" t="inlineStr">
        <is>
          <t>EdTech</t>
        </is>
      </c>
      <c r="F6" s="19" t="inlineStr">
        <is>
          <t>B2C</t>
        </is>
      </c>
      <c r="G6" s="19" t="inlineStr">
        <is>
          <t>https://pathlighttutors.com</t>
        </is>
      </c>
      <c r="H6" s="19" t="inlineStr">
        <is>
          <t>support@pathlighttutors.com</t>
        </is>
      </c>
      <c r="I6" s="19" t="inlineStr">
        <is>
          <t>+1 646 555 0192</t>
        </is>
      </c>
      <c r="J6" s="19" t="inlineStr">
        <is>
          <t>USA</t>
        </is>
      </c>
      <c r="K6" s="19" t="inlineStr">
        <is>
          <t>USD</t>
        </is>
      </c>
      <c r="L6" s="19" t="inlineStr">
        <is>
          <t>Humayra Shajahan</t>
        </is>
      </c>
      <c r="M6" s="19" t="inlineStr">
        <is>
          <t>Exploring</t>
        </is>
      </c>
      <c r="N6" s="25" t="n">
        <v>45505</v>
      </c>
      <c r="O6" s="19" t="inlineStr">
        <is>
          <t>Pre-Launch</t>
        </is>
      </c>
      <c r="P6" s="19">
        <f>COUNTIFS(Tbl_Employees[Primary Company],C6)</f>
        <v/>
      </c>
      <c r="Q6" s="19">
        <f>COUNTIFS(Tbl_Projects[Company],C6)</f>
        <v/>
      </c>
      <c r="R6" s="19">
        <f>COUNTIFS(Tbl_Projects[Company],C6,Tbl_Projects[Status],"&lt;&gt;Completed",Tbl_Projects[Status],"&lt;&gt;Cancelled")</f>
        <v/>
      </c>
      <c r="S6" s="19">
        <f>COUNTIFS(Tbl_Tasks[Company],C6,Tbl_Tasks[Status],"&lt;&gt;Completed",Tbl_Tasks[Status],"&lt;&gt;Cancelled")</f>
        <v/>
      </c>
      <c r="T6" s="19">
        <f>COUNTIFS(Tbl_Tasks[Company],C6,Tbl_Tasks[Status],"Completed")</f>
        <v/>
      </c>
      <c r="U6" s="20">
        <f>ROUND(SUMIFS(Tbl_TimeLog[Total Hours],Tbl_TimeLog[Company],C6),1)</f>
        <v/>
      </c>
      <c r="V6" s="21">
        <f>ROUND(SUMIFS(Tbl_Revenue[Amount],Tbl_Revenue[Company],C6),2)</f>
        <v/>
      </c>
      <c r="W6" s="21">
        <f>ROUND(SUMIFS(Tbl_Expenses[Total],Tbl_Expenses[Company],C6),2)</f>
        <v/>
      </c>
      <c r="X6" s="21">
        <f>ROUND(V6-W6,2)</f>
        <v/>
      </c>
      <c r="Y6" s="26">
        <f>IF(V6=0,0,X6/V6)</f>
        <v/>
      </c>
      <c r="Z6" s="21">
        <f>ROUND(SUMIFS(Tbl_Revenue[Amount],Tbl_Revenue[Company],C6,Tbl_Revenue[Date],"&gt;="&amp;DATE(YEAR(TODAY()),MONTH(TODAY()),1)),2)</f>
        <v/>
      </c>
      <c r="AA6" s="21">
        <f>ROUND(SUMIFS(Tbl_Expenses[Total],Tbl_Expenses[Company],C6,Tbl_Expenses[Date],"&gt;="&amp;DATE(YEAR(TODAY()),MONTH(TODAY()),1)),2)</f>
        <v/>
      </c>
      <c r="AB6" s="21">
        <f>ROUND(Z6-AA6,2)</f>
        <v/>
      </c>
      <c r="AC6" s="21">
        <f>IF(U6=0,0,ROUND(V6/U6,2))</f>
        <v/>
      </c>
      <c r="AD6" s="21">
        <f>ROUND(SUMIFS(Tbl_Expenses[Total],Tbl_Expenses[Company],C6,Tbl_Expenses[Reimbursable],"Yes",Tbl_Expenses[Reimbursed],"No"),2)</f>
        <v/>
      </c>
      <c r="AE6" s="19" t="inlineStr">
        <is>
          <t>Early-stage tutoring marketplace, validating demand.</t>
        </is>
      </c>
    </row>
  </sheetData>
  <conditionalFormatting sqref="M4:M500">
    <cfRule type="expression" priority="1" dxfId="0">
      <formula>EXACT(M4,"Active")</formula>
    </cfRule>
    <cfRule type="expression" priority="2" dxfId="1">
      <formula>EXACT(M4,"Paused")</formula>
    </cfRule>
    <cfRule type="expression" priority="3" dxfId="2">
      <formula>EXACT(M4,"Archived")</formula>
    </cfRule>
    <cfRule type="expression" priority="4" dxfId="3">
      <formula>EXACT(M4,"Exploring")</formula>
    </cfRule>
  </conditionalFormatting>
  <dataValidations count="3">
    <dataValidation sqref="K4:K500" showDropDown="0" showInputMessage="0" showErrorMessage="0" allowBlank="1" errorTitle="Invalid entry" error="Please choose a value from the dropdown list." type="list">
      <formula1>=List_Currencies</formula1>
    </dataValidation>
    <dataValidation sqref="M4:M500" showDropDown="0" showInputMessage="0" showErrorMessage="0" allowBlank="1" errorTitle="Invalid entry" error="Please choose a value from the dropdown list." type="list">
      <formula1>=List_CompanyStatus</formula1>
    </dataValidation>
    <dataValidation sqref="O4:O500" showDropDown="0" showInputMessage="0" showErrorMessage="0" allowBlank="1" errorTitle="Invalid entry" error="Please choose a value from the dropdown list." type="list">
      <formula1>=List_CompanyStage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B1:M9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0" customWidth="1" min="3" max="3"/>
    <col width="26" customWidth="1" min="4" max="4"/>
    <col width="20" customWidth="1" min="5" max="5"/>
    <col width="16" customWidth="1" min="6" max="6"/>
    <col width="20" customWidth="1" min="7" max="7"/>
    <col width="11" customWidth="1" min="8" max="8"/>
    <col width="12" customWidth="1" min="9" max="9"/>
    <col width="11" customWidth="1" min="10" max="10"/>
    <col width="12" customWidth="1" min="11" max="11"/>
    <col width="26" customWidth="1" min="12" max="12"/>
    <col width="26" customWidth="1" min="13" max="13"/>
  </cols>
  <sheetData>
    <row r="1" ht="24" customHeight="1">
      <c r="B1" s="22" t="inlineStr">
        <is>
          <t>🧑‍💼  Employees — People Directory</t>
        </is>
      </c>
    </row>
    <row r="2">
      <c r="B2" s="3" t="inlineStr">
        <is>
          <t>One row per person across all companies. Referenced by Projects, Tasks, and Time Log as Owner/Employee.</t>
        </is>
      </c>
    </row>
    <row r="3" ht="32" customHeight="1">
      <c r="B3" s="27" t="inlineStr">
        <is>
          <t>Employee ID</t>
        </is>
      </c>
      <c r="C3" s="27" t="inlineStr">
        <is>
          <t>Name</t>
        </is>
      </c>
      <c r="D3" s="27" t="inlineStr">
        <is>
          <t>Email</t>
        </is>
      </c>
      <c r="E3" s="27" t="inlineStr">
        <is>
          <t>Role / Title</t>
        </is>
      </c>
      <c r="F3" s="27" t="inlineStr">
        <is>
          <t>Department</t>
        </is>
      </c>
      <c r="G3" s="27" t="inlineStr">
        <is>
          <t>Primary Company</t>
        </is>
      </c>
      <c r="H3" s="27" t="inlineStr">
        <is>
          <t>Status</t>
        </is>
      </c>
      <c r="I3" s="27" t="inlineStr">
        <is>
          <t>Start Date</t>
        </is>
      </c>
      <c r="J3" s="27" t="inlineStr">
        <is>
          <t>Open Tasks</t>
        </is>
      </c>
      <c r="K3" s="27" t="inlineStr">
        <is>
          <t>Hours Logged</t>
        </is>
      </c>
      <c r="L3" s="27" t="inlineStr">
        <is>
          <t>Skills</t>
        </is>
      </c>
      <c r="M3" s="27" t="inlineStr">
        <is>
          <t>Notes</t>
        </is>
      </c>
    </row>
    <row r="4">
      <c r="B4" s="19">
        <f>"EMP-"&amp;TEXT(SUBTOTAL(103,$C$4:C4),"0000")</f>
        <v/>
      </c>
      <c r="C4" s="19" t="inlineStr">
        <is>
          <t>Humayra Shajahan</t>
        </is>
      </c>
      <c r="D4" s="19" t="inlineStr">
        <is>
          <t>humayrashajahan@gmail.com</t>
        </is>
      </c>
      <c r="E4" s="19" t="inlineStr">
        <is>
          <t>Founder / CEO</t>
        </is>
      </c>
      <c r="F4" s="19" t="inlineStr">
        <is>
          <t>Operations</t>
        </is>
      </c>
      <c r="G4" s="19" t="inlineStr">
        <is>
          <t>Nimbus Analytics</t>
        </is>
      </c>
      <c r="H4" s="19" t="inlineStr">
        <is>
          <t>Active</t>
        </is>
      </c>
      <c r="I4" s="25" t="n">
        <v>44936</v>
      </c>
      <c r="J4" s="19">
        <f>COUNTIFS(Tbl_Tasks[Owner],C4,Tbl_Tasks[Status],"&lt;&gt;Completed",Tbl_Tasks[Status],"&lt;&gt;Cancelled")</f>
        <v/>
      </c>
      <c r="K4" s="20">
        <f>ROUND(SUMIFS(Tbl_TimeLog[Total Hours],Tbl_TimeLog[Employee],C4),1)</f>
        <v/>
      </c>
      <c r="L4" s="19" t="inlineStr">
        <is>
          <t>Strategy, Fundraising, Product</t>
        </is>
      </c>
      <c r="M4" s="19" t="inlineStr"/>
    </row>
    <row r="5">
      <c r="B5" s="19">
        <f>"EMP-"&amp;TEXT(SUBTOTAL(103,$C$4:C5),"0000")</f>
        <v/>
      </c>
      <c r="C5" s="19" t="inlineStr">
        <is>
          <t>Ali Raza</t>
        </is>
      </c>
      <c r="D5" s="19" t="inlineStr">
        <is>
          <t>ali.raza@example.com</t>
        </is>
      </c>
      <c r="E5" s="19" t="inlineStr">
        <is>
          <t>Lead Engineer</t>
        </is>
      </c>
      <c r="F5" s="19" t="inlineStr">
        <is>
          <t>Engineering</t>
        </is>
      </c>
      <c r="G5" s="19" t="inlineStr">
        <is>
          <t>Nimbus Analytics</t>
        </is>
      </c>
      <c r="H5" s="19" t="inlineStr">
        <is>
          <t>Active</t>
        </is>
      </c>
      <c r="I5" s="25" t="n">
        <v>44986</v>
      </c>
      <c r="J5" s="19">
        <f>COUNTIFS(Tbl_Tasks[Owner],C5,Tbl_Tasks[Status],"&lt;&gt;Completed",Tbl_Tasks[Status],"&lt;&gt;Cancelled")</f>
        <v/>
      </c>
      <c r="K5" s="20">
        <f>ROUND(SUMIFS(Tbl_TimeLog[Total Hours],Tbl_TimeLog[Employee],C5),1)</f>
        <v/>
      </c>
      <c r="L5" s="19" t="inlineStr">
        <is>
          <t>Python, React, AWS</t>
        </is>
      </c>
      <c r="M5" s="19" t="inlineStr"/>
    </row>
    <row r="6">
      <c r="B6" s="19">
        <f>"EMP-"&amp;TEXT(SUBTOTAL(103,$C$4:C6),"0000")</f>
        <v/>
      </c>
      <c r="C6" s="19" t="inlineStr">
        <is>
          <t>Sara Khan</t>
        </is>
      </c>
      <c r="D6" s="19" t="inlineStr">
        <is>
          <t>sara.khan@example.com</t>
        </is>
      </c>
      <c r="E6" s="19" t="inlineStr">
        <is>
          <t>Product Designer</t>
        </is>
      </c>
      <c r="F6" s="19" t="inlineStr">
        <is>
          <t>Design</t>
        </is>
      </c>
      <c r="G6" s="19" t="inlineStr">
        <is>
          <t>Nimbus Analytics</t>
        </is>
      </c>
      <c r="H6" s="19" t="inlineStr">
        <is>
          <t>Active</t>
        </is>
      </c>
      <c r="I6" s="25" t="n">
        <v>45092</v>
      </c>
      <c r="J6" s="19">
        <f>COUNTIFS(Tbl_Tasks[Owner],C6,Tbl_Tasks[Status],"&lt;&gt;Completed",Tbl_Tasks[Status],"&lt;&gt;Cancelled")</f>
        <v/>
      </c>
      <c r="K6" s="20">
        <f>ROUND(SUMIFS(Tbl_TimeLog[Total Hours],Tbl_TimeLog[Employee],C6),1)</f>
        <v/>
      </c>
      <c r="L6" s="19" t="inlineStr">
        <is>
          <t>Figma, UX Research</t>
        </is>
      </c>
      <c r="M6" s="19" t="inlineStr"/>
    </row>
    <row r="7">
      <c r="B7" s="19">
        <f>"EMP-"&amp;TEXT(SUBTOTAL(103,$C$4:C7),"0000")</f>
        <v/>
      </c>
      <c r="C7" s="19" t="inlineStr">
        <is>
          <t>Bilal Ahmed</t>
        </is>
      </c>
      <c r="D7" s="19" t="inlineStr">
        <is>
          <t>bilal.ahmed@example.com</t>
        </is>
      </c>
      <c r="E7" s="19" t="inlineStr">
        <is>
          <t>Growth Marketer</t>
        </is>
      </c>
      <c r="F7" s="19" t="inlineStr">
        <is>
          <t>Marketing</t>
        </is>
      </c>
      <c r="G7" s="19" t="inlineStr">
        <is>
          <t>Kiln &amp; Co</t>
        </is>
      </c>
      <c r="H7" s="19" t="inlineStr">
        <is>
          <t>Active</t>
        </is>
      </c>
      <c r="I7" s="25" t="n">
        <v>45296</v>
      </c>
      <c r="J7" s="19">
        <f>COUNTIFS(Tbl_Tasks[Owner],C7,Tbl_Tasks[Status],"&lt;&gt;Completed",Tbl_Tasks[Status],"&lt;&gt;Cancelled")</f>
        <v/>
      </c>
      <c r="K7" s="20">
        <f>ROUND(SUMIFS(Tbl_TimeLog[Total Hours],Tbl_TimeLog[Employee],C7),1)</f>
        <v/>
      </c>
      <c r="L7" s="19" t="inlineStr">
        <is>
          <t>SEO, Paid Ads, Content</t>
        </is>
      </c>
      <c r="M7" s="19" t="inlineStr"/>
    </row>
    <row r="8">
      <c r="B8" s="19">
        <f>"EMP-"&amp;TEXT(SUBTOTAL(103,$C$4:C8),"0000")</f>
        <v/>
      </c>
      <c r="C8" s="19" t="inlineStr">
        <is>
          <t>Nadia Farooq</t>
        </is>
      </c>
      <c r="D8" s="19" t="inlineStr">
        <is>
          <t>nadia.farooq@example.com</t>
        </is>
      </c>
      <c r="E8" s="19" t="inlineStr">
        <is>
          <t>Ops Manager</t>
        </is>
      </c>
      <c r="F8" s="19" t="inlineStr">
        <is>
          <t>Operations</t>
        </is>
      </c>
      <c r="G8" s="19" t="inlineStr">
        <is>
          <t>Kiln &amp; Co</t>
        </is>
      </c>
      <c r="H8" s="19" t="inlineStr">
        <is>
          <t>Active</t>
        </is>
      </c>
      <c r="I8" s="25" t="n">
        <v>45342</v>
      </c>
      <c r="J8" s="19">
        <f>COUNTIFS(Tbl_Tasks[Owner],C8,Tbl_Tasks[Status],"&lt;&gt;Completed",Tbl_Tasks[Status],"&lt;&gt;Cancelled")</f>
        <v/>
      </c>
      <c r="K8" s="20">
        <f>ROUND(SUMIFS(Tbl_TimeLog[Total Hours],Tbl_TimeLog[Employee],C8),1)</f>
        <v/>
      </c>
      <c r="L8" s="19" t="inlineStr">
        <is>
          <t>Logistics, Vendor Mgmt</t>
        </is>
      </c>
      <c r="M8" s="19" t="inlineStr"/>
    </row>
    <row r="9">
      <c r="B9" s="19">
        <f>"EMP-"&amp;TEXT(SUBTOTAL(103,$C$4:C9),"0000")</f>
        <v/>
      </c>
      <c r="C9" s="19" t="inlineStr">
        <is>
          <t>Omar Siddiqui</t>
        </is>
      </c>
      <c r="D9" s="19" t="inlineStr">
        <is>
          <t>omar.siddiqui@example.com</t>
        </is>
      </c>
      <c r="E9" s="19" t="inlineStr">
        <is>
          <t>Full-Stack Engineer</t>
        </is>
      </c>
      <c r="F9" s="19" t="inlineStr">
        <is>
          <t>Engineering</t>
        </is>
      </c>
      <c r="G9" s="19" t="inlineStr">
        <is>
          <t>Pathlight Tutors</t>
        </is>
      </c>
      <c r="H9" s="19" t="inlineStr">
        <is>
          <t>Active</t>
        </is>
      </c>
      <c r="I9" s="25" t="n">
        <v>45505</v>
      </c>
      <c r="J9" s="19">
        <f>COUNTIFS(Tbl_Tasks[Owner],C9,Tbl_Tasks[Status],"&lt;&gt;Completed",Tbl_Tasks[Status],"&lt;&gt;Cancelled")</f>
        <v/>
      </c>
      <c r="K9" s="20">
        <f>ROUND(SUMIFS(Tbl_TimeLog[Total Hours],Tbl_TimeLog[Employee],C9),1)</f>
        <v/>
      </c>
      <c r="L9" s="19" t="inlineStr">
        <is>
          <t>Node.js, Postgres</t>
        </is>
      </c>
      <c r="M9" s="19" t="inlineStr"/>
    </row>
  </sheetData>
  <conditionalFormatting sqref="H4:H1000">
    <cfRule type="expression" priority="1" dxfId="0">
      <formula>EXACT(H4,"Active")</formula>
    </cfRule>
    <cfRule type="expression" priority="2" dxfId="2">
      <formula>EXACT(H4,"Inactive")</formula>
    </cfRule>
    <cfRule type="expression" priority="3" dxfId="1">
      <formula>EXACT(H4,"On Leave")</formula>
    </cfRule>
  </conditionalFormatting>
  <dataValidations count="3">
    <dataValidation sqref="F4:F1000" showDropDown="0" showInputMessage="0" showErrorMessage="0" allowBlank="1" errorTitle="Invalid entry" error="Please choose a value from the dropdown list." type="list">
      <formula1>=List_Departments</formula1>
    </dataValidation>
    <dataValidation sqref="G4:G1000" showDropDown="0" showInputMessage="0" showErrorMessage="0" allowBlank="1" errorTitle="Invalid entry" error="Please choose a value from the dropdown list." type="list">
      <formula1>=List_CompanyNames</formula1>
    </dataValidation>
    <dataValidation sqref="H4:H1000" showDropDown="0" showInputMessage="0" showErrorMessage="0" allowBlank="1" errorTitle="Invalid entry" error="Please choose a value from the dropdown list." type="list">
      <formula1>=List_EmployeeStatus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7C3AED"/>
    <outlinePr summaryBelow="1" summaryRight="1"/>
    <pageSetUpPr/>
  </sheetPr>
  <dimension ref="B1:R10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20" customWidth="1" min="3" max="3"/>
    <col width="26" customWidth="1" min="4" max="4"/>
    <col width="34" customWidth="1" min="5" max="5"/>
    <col width="11" customWidth="1" min="6" max="6"/>
    <col width="15" customWidth="1" min="7" max="7"/>
    <col width="18" customWidth="1" min="8" max="8"/>
    <col width="13" customWidth="1" min="9" max="9"/>
    <col width="12" customWidth="1" min="10" max="10"/>
    <col width="12" customWidth="1" min="11" max="11"/>
    <col width="13" customWidth="1" min="12" max="12"/>
    <col width="12" customWidth="1" min="13" max="13"/>
    <col width="13" customWidth="1" min="14" max="14"/>
    <col width="11" customWidth="1" min="15" max="15"/>
    <col width="13" customWidth="1" min="16" max="16"/>
    <col width="12" customWidth="1" min="17" max="17"/>
    <col width="28" customWidth="1" min="18" max="18"/>
  </cols>
  <sheetData>
    <row r="1" ht="24" customHeight="1">
      <c r="B1" s="22" t="inlineStr">
        <is>
          <t>📁  Projects</t>
        </is>
      </c>
    </row>
    <row r="2">
      <c r="B2" s="3" t="inlineStr">
        <is>
          <t>One row per project. Hours and completion % roll up automatically from Tasks and Time Log.</t>
        </is>
      </c>
    </row>
    <row r="3" ht="32" customHeight="1">
      <c r="B3" s="28" t="inlineStr">
        <is>
          <t>Project ID</t>
        </is>
      </c>
      <c r="C3" s="28" t="inlineStr">
        <is>
          <t>Company</t>
        </is>
      </c>
      <c r="D3" s="28" t="inlineStr">
        <is>
          <t>Project Name</t>
        </is>
      </c>
      <c r="E3" s="28" t="inlineStr">
        <is>
          <t>Description</t>
        </is>
      </c>
      <c r="F3" s="28" t="inlineStr">
        <is>
          <t>Priority</t>
        </is>
      </c>
      <c r="G3" s="28" t="inlineStr">
        <is>
          <t>Department</t>
        </is>
      </c>
      <c r="H3" s="28" t="inlineStr">
        <is>
          <t>Owner</t>
        </is>
      </c>
      <c r="I3" s="28" t="inlineStr">
        <is>
          <t>Status</t>
        </is>
      </c>
      <c r="J3" s="28" t="inlineStr">
        <is>
          <t>Start Date</t>
        </is>
      </c>
      <c r="K3" s="28" t="inlineStr">
        <is>
          <t>End Date</t>
        </is>
      </c>
      <c r="L3" s="28" t="inlineStr">
        <is>
          <t>Estimated Hours</t>
        </is>
      </c>
      <c r="M3" s="28" t="inlineStr">
        <is>
          <t>Actual Hours</t>
        </is>
      </c>
      <c r="N3" s="28" t="inlineStr">
        <is>
          <t>Remaining Hours</t>
        </is>
      </c>
      <c r="O3" s="28" t="inlineStr">
        <is>
          <t>Total Tasks</t>
        </is>
      </c>
      <c r="P3" s="28" t="inlineStr">
        <is>
          <t>Completed Tasks</t>
        </is>
      </c>
      <c r="Q3" s="28" t="inlineStr">
        <is>
          <t>Completion %</t>
        </is>
      </c>
      <c r="R3" s="28" t="inlineStr">
        <is>
          <t>Notes</t>
        </is>
      </c>
    </row>
    <row r="4">
      <c r="B4" s="19">
        <f>"PROJ-"&amp;TEXT(SUBTOTAL(103,$D$4:D4),"0000")</f>
        <v/>
      </c>
      <c r="C4" s="19" t="inlineStr">
        <is>
          <t>Nimbus Analytics</t>
        </is>
      </c>
      <c r="D4" s="19" t="inlineStr">
        <is>
          <t>Analytics Dashboard v2</t>
        </is>
      </c>
      <c r="E4" s="19" t="inlineStr">
        <is>
          <t>Rebuild core dashboard with faster queries.</t>
        </is>
      </c>
      <c r="F4" s="19" t="inlineStr">
        <is>
          <t>High</t>
        </is>
      </c>
      <c r="G4" s="19" t="inlineStr">
        <is>
          <t>Engineering</t>
        </is>
      </c>
      <c r="H4" s="19" t="inlineStr">
        <is>
          <t>Ali Raza</t>
        </is>
      </c>
      <c r="I4" s="19" t="inlineStr">
        <is>
          <t>In Progress</t>
        </is>
      </c>
      <c r="J4" s="25" t="n">
        <v>46143</v>
      </c>
      <c r="K4" s="25" t="n">
        <v>46266</v>
      </c>
      <c r="L4" s="19" t="n">
        <v>320</v>
      </c>
      <c r="M4" s="20">
        <f>ROUND(SUMIFS(Tbl_TimeLog[Total Hours],Tbl_TimeLog[Project],D4),1)</f>
        <v/>
      </c>
      <c r="N4" s="20">
        <f>ROUND(MAX(0,L4-M4),1)</f>
        <v/>
      </c>
      <c r="O4" s="19">
        <f>COUNTIFS(Tbl_Tasks[Project],D4)</f>
        <v/>
      </c>
      <c r="P4" s="19">
        <f>COUNTIFS(Tbl_Tasks[Project],D4,Tbl_Tasks[Status],"Completed")</f>
        <v/>
      </c>
      <c r="Q4" s="26">
        <f>IF(O4=0,0,P4/O4)</f>
        <v/>
      </c>
      <c r="R4" s="19" t="inlineStr"/>
    </row>
    <row r="5">
      <c r="B5" s="19">
        <f>"PROJ-"&amp;TEXT(SUBTOTAL(103,$D$4:D5),"0000")</f>
        <v/>
      </c>
      <c r="C5" s="19" t="inlineStr">
        <is>
          <t>Nimbus Analytics</t>
        </is>
      </c>
      <c r="D5" s="19" t="inlineStr">
        <is>
          <t>Self-Serve Onboarding</t>
        </is>
      </c>
      <c r="E5" s="19" t="inlineStr">
        <is>
          <t>Reduce time-to-value for new signups.</t>
        </is>
      </c>
      <c r="F5" s="19" t="inlineStr">
        <is>
          <t>Critical</t>
        </is>
      </c>
      <c r="G5" s="19" t="inlineStr">
        <is>
          <t>Product</t>
        </is>
      </c>
      <c r="H5" s="19" t="inlineStr">
        <is>
          <t>Sara Khan</t>
        </is>
      </c>
      <c r="I5" s="19" t="inlineStr">
        <is>
          <t>In Progress</t>
        </is>
      </c>
      <c r="J5" s="25" t="n">
        <v>46188</v>
      </c>
      <c r="K5" s="25" t="n">
        <v>46264</v>
      </c>
      <c r="L5" s="19" t="n">
        <v>180</v>
      </c>
      <c r="M5" s="20">
        <f>ROUND(SUMIFS(Tbl_TimeLog[Total Hours],Tbl_TimeLog[Project],D5),1)</f>
        <v/>
      </c>
      <c r="N5" s="20">
        <f>ROUND(MAX(0,L5-M5),1)</f>
        <v/>
      </c>
      <c r="O5" s="19">
        <f>COUNTIFS(Tbl_Tasks[Project],D5)</f>
        <v/>
      </c>
      <c r="P5" s="19">
        <f>COUNTIFS(Tbl_Tasks[Project],D5,Tbl_Tasks[Status],"Completed")</f>
        <v/>
      </c>
      <c r="Q5" s="26">
        <f>IF(O5=0,0,P5/O5)</f>
        <v/>
      </c>
      <c r="R5" s="19" t="inlineStr"/>
    </row>
    <row r="6">
      <c r="B6" s="19">
        <f>"PROJ-"&amp;TEXT(SUBTOTAL(103,$D$4:D6),"0000")</f>
        <v/>
      </c>
      <c r="C6" s="19" t="inlineStr">
        <is>
          <t>Nimbus Analytics</t>
        </is>
      </c>
      <c r="D6" s="19" t="inlineStr">
        <is>
          <t>SOC 2 Prep</t>
        </is>
      </c>
      <c r="E6" s="19" t="inlineStr">
        <is>
          <t>Get compliance docs and controls in place.</t>
        </is>
      </c>
      <c r="F6" s="19" t="inlineStr">
        <is>
          <t>Medium</t>
        </is>
      </c>
      <c r="G6" s="19" t="inlineStr">
        <is>
          <t>Operations</t>
        </is>
      </c>
      <c r="H6" s="19" t="inlineStr">
        <is>
          <t>Humayra Shajahan</t>
        </is>
      </c>
      <c r="I6" s="19" t="inlineStr">
        <is>
          <t>Not Started</t>
        </is>
      </c>
      <c r="J6" s="25" t="n">
        <v>46266</v>
      </c>
      <c r="K6" s="25" t="n">
        <v>46371</v>
      </c>
      <c r="L6" s="19" t="n">
        <v>120</v>
      </c>
      <c r="M6" s="20">
        <f>ROUND(SUMIFS(Tbl_TimeLog[Total Hours],Tbl_TimeLog[Project],D6),1)</f>
        <v/>
      </c>
      <c r="N6" s="20">
        <f>ROUND(MAX(0,L6-M6),1)</f>
        <v/>
      </c>
      <c r="O6" s="19">
        <f>COUNTIFS(Tbl_Tasks[Project],D6)</f>
        <v/>
      </c>
      <c r="P6" s="19">
        <f>COUNTIFS(Tbl_Tasks[Project],D6,Tbl_Tasks[Status],"Completed")</f>
        <v/>
      </c>
      <c r="Q6" s="26">
        <f>IF(O6=0,0,P6/O6)</f>
        <v/>
      </c>
      <c r="R6" s="19" t="inlineStr"/>
    </row>
    <row r="7">
      <c r="B7" s="19">
        <f>"PROJ-"&amp;TEXT(SUBTOTAL(103,$D$4:D7),"0000")</f>
        <v/>
      </c>
      <c r="C7" s="19" t="inlineStr">
        <is>
          <t>Kiln &amp; Co</t>
        </is>
      </c>
      <c r="D7" s="19" t="inlineStr">
        <is>
          <t>Winter Collection Launch</t>
        </is>
      </c>
      <c r="E7" s="19" t="inlineStr">
        <is>
          <t>Design, source, and launch winter line.</t>
        </is>
      </c>
      <c r="F7" s="19" t="inlineStr">
        <is>
          <t>High</t>
        </is>
      </c>
      <c r="G7" s="19" t="inlineStr">
        <is>
          <t>Marketing</t>
        </is>
      </c>
      <c r="H7" s="19" t="inlineStr">
        <is>
          <t>Bilal Ahmed</t>
        </is>
      </c>
      <c r="I7" s="19" t="inlineStr">
        <is>
          <t>In Progress</t>
        </is>
      </c>
      <c r="J7" s="25" t="n">
        <v>46174</v>
      </c>
      <c r="K7" s="25" t="n">
        <v>46296</v>
      </c>
      <c r="L7" s="19" t="n">
        <v>260</v>
      </c>
      <c r="M7" s="20">
        <f>ROUND(SUMIFS(Tbl_TimeLog[Total Hours],Tbl_TimeLog[Project],D7),1)</f>
        <v/>
      </c>
      <c r="N7" s="20">
        <f>ROUND(MAX(0,L7-M7),1)</f>
        <v/>
      </c>
      <c r="O7" s="19">
        <f>COUNTIFS(Tbl_Tasks[Project],D7)</f>
        <v/>
      </c>
      <c r="P7" s="19">
        <f>COUNTIFS(Tbl_Tasks[Project],D7,Tbl_Tasks[Status],"Completed")</f>
        <v/>
      </c>
      <c r="Q7" s="26">
        <f>IF(O7=0,0,P7/O7)</f>
        <v/>
      </c>
      <c r="R7" s="19" t="inlineStr"/>
    </row>
    <row r="8">
      <c r="B8" s="19">
        <f>"PROJ-"&amp;TEXT(SUBTOTAL(103,$D$4:D8),"0000")</f>
        <v/>
      </c>
      <c r="C8" s="19" t="inlineStr">
        <is>
          <t>Kiln &amp; Co</t>
        </is>
      </c>
      <c r="D8" s="19" t="inlineStr">
        <is>
          <t>Warehouse Automation</t>
        </is>
      </c>
      <c r="E8" s="19" t="inlineStr">
        <is>
          <t>Automate pick/pack workflow.</t>
        </is>
      </c>
      <c r="F8" s="19" t="inlineStr">
        <is>
          <t>Medium</t>
        </is>
      </c>
      <c r="G8" s="19" t="inlineStr">
        <is>
          <t>Operations</t>
        </is>
      </c>
      <c r="H8" s="19" t="inlineStr">
        <is>
          <t>Nadia Farooq</t>
        </is>
      </c>
      <c r="I8" s="19" t="inlineStr">
        <is>
          <t>In Progress</t>
        </is>
      </c>
      <c r="J8" s="25" t="n">
        <v>46204</v>
      </c>
      <c r="K8" s="25" t="n">
        <v>46327</v>
      </c>
      <c r="L8" s="19" t="n">
        <v>150</v>
      </c>
      <c r="M8" s="20">
        <f>ROUND(SUMIFS(Tbl_TimeLog[Total Hours],Tbl_TimeLog[Project],D8),1)</f>
        <v/>
      </c>
      <c r="N8" s="20">
        <f>ROUND(MAX(0,L8-M8),1)</f>
        <v/>
      </c>
      <c r="O8" s="19">
        <f>COUNTIFS(Tbl_Tasks[Project],D8)</f>
        <v/>
      </c>
      <c r="P8" s="19">
        <f>COUNTIFS(Tbl_Tasks[Project],D8,Tbl_Tasks[Status],"Completed")</f>
        <v/>
      </c>
      <c r="Q8" s="26">
        <f>IF(O8=0,0,P8/O8)</f>
        <v/>
      </c>
      <c r="R8" s="19" t="inlineStr"/>
    </row>
    <row r="9">
      <c r="B9" s="19">
        <f>"PROJ-"&amp;TEXT(SUBTOTAL(103,$D$4:D9),"0000")</f>
        <v/>
      </c>
      <c r="C9" s="19" t="inlineStr">
        <is>
          <t>Pathlight Tutors</t>
        </is>
      </c>
      <c r="D9" s="19" t="inlineStr">
        <is>
          <t>MVP Marketplace Build</t>
        </is>
      </c>
      <c r="E9" s="19" t="inlineStr">
        <is>
          <t>Build tutor/student matching MVP.</t>
        </is>
      </c>
      <c r="F9" s="19" t="inlineStr">
        <is>
          <t>Critical</t>
        </is>
      </c>
      <c r="G9" s="19" t="inlineStr">
        <is>
          <t>Engineering</t>
        </is>
      </c>
      <c r="H9" s="19" t="inlineStr">
        <is>
          <t>Omar Siddiqui</t>
        </is>
      </c>
      <c r="I9" s="19" t="inlineStr">
        <is>
          <t>In Progress</t>
        </is>
      </c>
      <c r="J9" s="25" t="n">
        <v>46174</v>
      </c>
      <c r="K9" s="25" t="n">
        <v>46280</v>
      </c>
      <c r="L9" s="19" t="n">
        <v>400</v>
      </c>
      <c r="M9" s="20">
        <f>ROUND(SUMIFS(Tbl_TimeLog[Total Hours],Tbl_TimeLog[Project],D9),1)</f>
        <v/>
      </c>
      <c r="N9" s="20">
        <f>ROUND(MAX(0,L9-M9),1)</f>
        <v/>
      </c>
      <c r="O9" s="19">
        <f>COUNTIFS(Tbl_Tasks[Project],D9)</f>
        <v/>
      </c>
      <c r="P9" s="19">
        <f>COUNTIFS(Tbl_Tasks[Project],D9,Tbl_Tasks[Status],"Completed")</f>
        <v/>
      </c>
      <c r="Q9" s="26">
        <f>IF(O9=0,0,P9/O9)</f>
        <v/>
      </c>
      <c r="R9" s="19" t="inlineStr"/>
    </row>
    <row r="10">
      <c r="B10" s="19">
        <f>"PROJ-"&amp;TEXT(SUBTOTAL(103,$D$4:D10),"0000")</f>
        <v/>
      </c>
      <c r="C10" s="19" t="inlineStr">
        <is>
          <t>Pathlight Tutors</t>
        </is>
      </c>
      <c r="D10" s="19" t="inlineStr">
        <is>
          <t>Market Validation Interviews</t>
        </is>
      </c>
      <c r="E10" s="19" t="inlineStr">
        <is>
          <t>Run 30 parent/tutor interviews.</t>
        </is>
      </c>
      <c r="F10" s="19" t="inlineStr">
        <is>
          <t>High</t>
        </is>
      </c>
      <c r="G10" s="19" t="inlineStr">
        <is>
          <t>Product</t>
        </is>
      </c>
      <c r="H10" s="19" t="inlineStr">
        <is>
          <t>Humayra Shajahan</t>
        </is>
      </c>
      <c r="I10" s="19" t="inlineStr">
        <is>
          <t>In Review</t>
        </is>
      </c>
      <c r="J10" s="25" t="n">
        <v>46143</v>
      </c>
      <c r="K10" s="25" t="n">
        <v>46218</v>
      </c>
      <c r="L10" s="19" t="n">
        <v>40</v>
      </c>
      <c r="M10" s="20">
        <f>ROUND(SUMIFS(Tbl_TimeLog[Total Hours],Tbl_TimeLog[Project],D10),1)</f>
        <v/>
      </c>
      <c r="N10" s="20">
        <f>ROUND(MAX(0,L10-M10),1)</f>
        <v/>
      </c>
      <c r="O10" s="19">
        <f>COUNTIFS(Tbl_Tasks[Project],D10)</f>
        <v/>
      </c>
      <c r="P10" s="19">
        <f>COUNTIFS(Tbl_Tasks[Project],D10,Tbl_Tasks[Status],"Completed")</f>
        <v/>
      </c>
      <c r="Q10" s="26">
        <f>IF(O10=0,0,P10/O10)</f>
        <v/>
      </c>
      <c r="R10" s="19" t="inlineStr"/>
    </row>
  </sheetData>
  <conditionalFormatting sqref="I4:I2000">
    <cfRule type="expression" priority="1" dxfId="2">
      <formula>EXACT(I4,"Not Started")</formula>
    </cfRule>
    <cfRule type="expression" priority="2" dxfId="3">
      <formula>EXACT(I4,"In Progress")</formula>
    </cfRule>
    <cfRule type="expression" priority="3" dxfId="4">
      <formula>EXACT(I4,"Blocked")</formula>
    </cfRule>
    <cfRule type="expression" priority="4" dxfId="5">
      <formula>EXACT(I4,"In Review")</formula>
    </cfRule>
    <cfRule type="expression" priority="5" dxfId="0">
      <formula>EXACT(I4,"Completed")</formula>
    </cfRule>
    <cfRule type="expression" priority="6" dxfId="2">
      <formula>EXACT(I4,"Cancelled")</formula>
    </cfRule>
    <cfRule type="expression" priority="7" dxfId="1">
      <formula>EXACT(I4,"On Hold")</formula>
    </cfRule>
  </conditionalFormatting>
  <conditionalFormatting sqref="F4:F2000">
    <cfRule type="expression" priority="8" dxfId="4">
      <formula>EXACT(F4,"Critical")</formula>
    </cfRule>
    <cfRule type="expression" priority="9" dxfId="1">
      <formula>EXACT(F4,"High")</formula>
    </cfRule>
    <cfRule type="expression" priority="10" dxfId="3">
      <formula>EXACT(F4,"Medium")</formula>
    </cfRule>
    <cfRule type="expression" priority="11" dxfId="2">
      <formula>EXACT(F4,"Low")</formula>
    </cfRule>
  </conditionalFormatting>
  <conditionalFormatting sqref="Q4:Q2000">
    <cfRule type="dataBar" priority="12">
      <dataBar showValue="1">
        <cfvo type="num" val="0"/>
        <cfvo type="num" val="100"/>
        <color rgb="007C3AED"/>
      </dataBar>
    </cfRule>
  </conditionalFormatting>
  <dataValidations count="5">
    <dataValidation sqref="C4:C2000" showDropDown="0" showInputMessage="0" showErrorMessage="0" allowBlank="1" errorTitle="Invalid entry" error="Please choose a value from the dropdown list." type="list">
      <formula1>=List_CompanyNames</formula1>
    </dataValidation>
    <dataValidation sqref="F4:F2000" showDropDown="0" showInputMessage="0" showErrorMessage="0" allowBlank="1" errorTitle="Invalid entry" error="Please choose a value from the dropdown list." type="list">
      <formula1>=List_Priority</formula1>
    </dataValidation>
    <dataValidation sqref="G4:G2000" showDropDown="0" showInputMessage="0" showErrorMessage="0" allowBlank="1" errorTitle="Invalid entry" error="Please choose a value from the dropdown list." type="list">
      <formula1>=List_Departments</formula1>
    </dataValidation>
    <dataValidation sqref="H4:H2000" showDropDown="0" showInputMessage="0" showErrorMessage="0" allowBlank="1" errorTitle="Invalid entry" error="Please choose a value from the dropdown list." type="list">
      <formula1>=List_EmployeeNames</formula1>
    </dataValidation>
    <dataValidation sqref="I4:I2000" showDropDown="0" showInputMessage="0" showErrorMessage="0" allowBlank="1" errorTitle="Invalid entry" error="Please choose a value from the dropdown list." type="list">
      <formula1>=List_Statuses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D97706"/>
    <outlinePr summaryBelow="1" summaryRight="1"/>
    <pageSetUpPr/>
  </sheetPr>
  <dimension ref="B1:Q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32" customWidth="1" min="3" max="3"/>
    <col width="24" customWidth="1" min="4" max="4"/>
    <col width="18" customWidth="1" min="5" max="5"/>
    <col width="15" customWidth="1" min="6" max="6"/>
    <col width="18" customWidth="1" min="7" max="7"/>
    <col width="12" customWidth="1" min="8" max="8"/>
    <col width="11" customWidth="1" min="9" max="9"/>
    <col width="13" customWidth="1" min="10" max="10"/>
    <col width="13" customWidth="1" min="11" max="11"/>
    <col width="12" customWidth="1" min="12" max="12"/>
    <col width="14" customWidth="1" min="13" max="13"/>
    <col width="13" customWidth="1" min="14" max="14"/>
    <col width="12" customWidth="1" min="15" max="15"/>
    <col width="11" customWidth="1" min="16" max="16"/>
    <col width="28" customWidth="1" min="17" max="17"/>
  </cols>
  <sheetData>
    <row r="1" ht="24" customHeight="1">
      <c r="B1" s="22" t="inlineStr">
        <is>
          <t>✅  Tasks</t>
        </is>
      </c>
    </row>
    <row r="2">
      <c r="B2" s="3" t="inlineStr">
        <is>
          <t>One row per task. Company is derived automatically from the selected Project. Overdue tasks are highlighted in red.</t>
        </is>
      </c>
    </row>
    <row r="3" ht="32" customHeight="1">
      <c r="B3" s="29" t="inlineStr">
        <is>
          <t>Task ID</t>
        </is>
      </c>
      <c r="C3" s="29" t="inlineStr">
        <is>
          <t>Task Name</t>
        </is>
      </c>
      <c r="D3" s="29" t="inlineStr">
        <is>
          <t>Project</t>
        </is>
      </c>
      <c r="E3" s="29" t="inlineStr">
        <is>
          <t>Company</t>
        </is>
      </c>
      <c r="F3" s="29" t="inlineStr">
        <is>
          <t>Department</t>
        </is>
      </c>
      <c r="G3" s="29" t="inlineStr">
        <is>
          <t>Owner</t>
        </is>
      </c>
      <c r="H3" s="29" t="inlineStr">
        <is>
          <t>Task Type</t>
        </is>
      </c>
      <c r="I3" s="29" t="inlineStr">
        <is>
          <t>Priority</t>
        </is>
      </c>
      <c r="J3" s="29" t="inlineStr">
        <is>
          <t>Status</t>
        </is>
      </c>
      <c r="K3" s="29" t="inlineStr">
        <is>
          <t>Created Date</t>
        </is>
      </c>
      <c r="L3" s="29" t="inlineStr">
        <is>
          <t>Due Date</t>
        </is>
      </c>
      <c r="M3" s="29" t="inlineStr">
        <is>
          <t>Completed Date</t>
        </is>
      </c>
      <c r="N3" s="29" t="inlineStr">
        <is>
          <t>Estimated Hours</t>
        </is>
      </c>
      <c r="O3" s="29" t="inlineStr">
        <is>
          <t>Actual Hours</t>
        </is>
      </c>
      <c r="P3" s="29" t="inlineStr">
        <is>
          <t>Progress %</t>
        </is>
      </c>
      <c r="Q3" s="29" t="inlineStr">
        <is>
          <t>Notes</t>
        </is>
      </c>
    </row>
    <row r="4">
      <c r="B4" s="19">
        <f>"TASK-"&amp;TEXT(SUBTOTAL(103,$K$4:K4),"0000")</f>
        <v/>
      </c>
      <c r="C4" s="19" t="inlineStr">
        <is>
          <t>Rewrite query layer for Postgres partitioning</t>
        </is>
      </c>
      <c r="D4" s="19" t="inlineStr">
        <is>
          <t>Analytics Dashboard v2</t>
        </is>
      </c>
      <c r="E4" s="19">
        <f>IFERROR(INDEX(Tbl_Projects[Company],MATCH(D4,Tbl_Projects[Project Name],0)),"")</f>
        <v/>
      </c>
      <c r="F4" s="19" t="inlineStr">
        <is>
          <t>Engineering</t>
        </is>
      </c>
      <c r="G4" s="19" t="inlineStr">
        <is>
          <t>Ali Raza</t>
        </is>
      </c>
      <c r="H4" s="19" t="inlineStr">
        <is>
          <t>Feature</t>
        </is>
      </c>
      <c r="I4" s="19" t="inlineStr">
        <is>
          <t>High</t>
        </is>
      </c>
      <c r="J4" s="19" t="inlineStr">
        <is>
          <t>In Progress</t>
        </is>
      </c>
      <c r="K4" s="25" t="n">
        <v>46174</v>
      </c>
      <c r="L4" s="25" t="n">
        <v>46235</v>
      </c>
      <c r="M4" s="25" t="n"/>
      <c r="N4" s="19" t="n">
        <v>40</v>
      </c>
      <c r="O4" s="20">
        <f>ROUND(SUMIFS(Tbl_TimeLog[Total Hours],Tbl_TimeLog[Task],B4),1)</f>
        <v/>
      </c>
      <c r="P4" s="26">
        <f>IF(J4="Completed",1,IF(OR(J4="Cancelled",N4=0),0,MIN(0.95,O4/N4)))</f>
        <v/>
      </c>
      <c r="Q4" s="19" t="inlineStr"/>
    </row>
    <row r="5">
      <c r="B5" s="19">
        <f>"TASK-"&amp;TEXT(SUBTOTAL(103,$K$4:K5),"0000")</f>
        <v/>
      </c>
      <c r="C5" s="19" t="inlineStr">
        <is>
          <t>Add caching layer for dashboard widgets</t>
        </is>
      </c>
      <c r="D5" s="19" t="inlineStr">
        <is>
          <t>Analytics Dashboard v2</t>
        </is>
      </c>
      <c r="E5" s="19">
        <f>IFERROR(INDEX(Tbl_Projects[Company],MATCH(D5,Tbl_Projects[Project Name],0)),"")</f>
        <v/>
      </c>
      <c r="F5" s="19" t="inlineStr">
        <is>
          <t>Engineering</t>
        </is>
      </c>
      <c r="G5" s="19" t="inlineStr">
        <is>
          <t>Ali Raza</t>
        </is>
      </c>
      <c r="H5" s="19" t="inlineStr">
        <is>
          <t>Feature</t>
        </is>
      </c>
      <c r="I5" s="19" t="inlineStr">
        <is>
          <t>Medium</t>
        </is>
      </c>
      <c r="J5" s="19" t="inlineStr">
        <is>
          <t>Not Started</t>
        </is>
      </c>
      <c r="K5" s="25" t="n">
        <v>46178</v>
      </c>
      <c r="L5" s="25" t="n">
        <v>46249</v>
      </c>
      <c r="M5" s="25" t="n"/>
      <c r="N5" s="19" t="n">
        <v>24</v>
      </c>
      <c r="O5" s="20">
        <f>ROUND(SUMIFS(Tbl_TimeLog[Total Hours],Tbl_TimeLog[Task],B5),1)</f>
        <v/>
      </c>
      <c r="P5" s="26">
        <f>IF(J5="Completed",1,IF(OR(J5="Cancelled",N5=0),0,MIN(0.95,O5/N5)))</f>
        <v/>
      </c>
      <c r="Q5" s="19" t="inlineStr"/>
    </row>
    <row r="6">
      <c r="B6" s="19">
        <f>"TASK-"&amp;TEXT(SUBTOTAL(103,$K$4:K6),"0000")</f>
        <v/>
      </c>
      <c r="C6" s="19" t="inlineStr">
        <is>
          <t>Fix chart rendering bug on Safari</t>
        </is>
      </c>
      <c r="D6" s="19" t="inlineStr">
        <is>
          <t>Analytics Dashboard v2</t>
        </is>
      </c>
      <c r="E6" s="19">
        <f>IFERROR(INDEX(Tbl_Projects[Company],MATCH(D6,Tbl_Projects[Project Name],0)),"")</f>
        <v/>
      </c>
      <c r="F6" s="19" t="inlineStr">
        <is>
          <t>Engineering</t>
        </is>
      </c>
      <c r="G6" s="19" t="inlineStr">
        <is>
          <t>Ali Raza</t>
        </is>
      </c>
      <c r="H6" s="19" t="inlineStr">
        <is>
          <t>Bug</t>
        </is>
      </c>
      <c r="I6" s="19" t="inlineStr">
        <is>
          <t>High</t>
        </is>
      </c>
      <c r="J6" s="19" t="inlineStr">
        <is>
          <t>Completed</t>
        </is>
      </c>
      <c r="K6" s="25" t="n">
        <v>46152</v>
      </c>
      <c r="L6" s="25" t="n">
        <v>46162</v>
      </c>
      <c r="M6" s="25" t="n">
        <v>46160</v>
      </c>
      <c r="N6" s="19" t="n">
        <v>6</v>
      </c>
      <c r="O6" s="20">
        <f>ROUND(SUMIFS(Tbl_TimeLog[Total Hours],Tbl_TimeLog[Task],B6),1)</f>
        <v/>
      </c>
      <c r="P6" s="26">
        <f>IF(J6="Completed",1,IF(OR(J6="Cancelled",N6=0),0,MIN(0.95,O6/N6)))</f>
        <v/>
      </c>
      <c r="Q6" s="19" t="inlineStr"/>
    </row>
    <row r="7">
      <c r="B7" s="19">
        <f>"TASK-"&amp;TEXT(SUBTOTAL(103,$K$4:K7),"0000")</f>
        <v/>
      </c>
      <c r="C7" s="19" t="inlineStr">
        <is>
          <t>Redesign signup flow wireframes</t>
        </is>
      </c>
      <c r="D7" s="19" t="inlineStr">
        <is>
          <t>Self-Serve Onboarding</t>
        </is>
      </c>
      <c r="E7" s="19">
        <f>IFERROR(INDEX(Tbl_Projects[Company],MATCH(D7,Tbl_Projects[Project Name],0)),"")</f>
        <v/>
      </c>
      <c r="F7" s="19" t="inlineStr">
        <is>
          <t>Design</t>
        </is>
      </c>
      <c r="G7" s="19" t="inlineStr">
        <is>
          <t>Sara Khan</t>
        </is>
      </c>
      <c r="H7" s="19" t="inlineStr">
        <is>
          <t>Design</t>
        </is>
      </c>
      <c r="I7" s="19" t="inlineStr">
        <is>
          <t>Critical</t>
        </is>
      </c>
      <c r="J7" s="19" t="inlineStr">
        <is>
          <t>Completed</t>
        </is>
      </c>
      <c r="K7" s="25" t="n">
        <v>46189</v>
      </c>
      <c r="L7" s="25" t="n">
        <v>46198</v>
      </c>
      <c r="M7" s="25" t="n">
        <v>46197</v>
      </c>
      <c r="N7" s="19" t="n">
        <v>16</v>
      </c>
      <c r="O7" s="20">
        <f>ROUND(SUMIFS(Tbl_TimeLog[Total Hours],Tbl_TimeLog[Task],B7),1)</f>
        <v/>
      </c>
      <c r="P7" s="26">
        <f>IF(J7="Completed",1,IF(OR(J7="Cancelled",N7=0),0,MIN(0.95,O7/N7)))</f>
        <v/>
      </c>
      <c r="Q7" s="19" t="inlineStr"/>
    </row>
    <row r="8">
      <c r="B8" s="19">
        <f>"TASK-"&amp;TEXT(SUBTOTAL(103,$K$4:K8),"0000")</f>
        <v/>
      </c>
      <c r="C8" s="19" t="inlineStr">
        <is>
          <t>Build interactive product tour</t>
        </is>
      </c>
      <c r="D8" s="19" t="inlineStr">
        <is>
          <t>Self-Serve Onboarding</t>
        </is>
      </c>
      <c r="E8" s="19">
        <f>IFERROR(INDEX(Tbl_Projects[Company],MATCH(D8,Tbl_Projects[Project Name],0)),"")</f>
        <v/>
      </c>
      <c r="F8" s="19" t="inlineStr">
        <is>
          <t>Engineering</t>
        </is>
      </c>
      <c r="G8" s="19" t="inlineStr">
        <is>
          <t>Ali Raza</t>
        </is>
      </c>
      <c r="H8" s="19" t="inlineStr">
        <is>
          <t>Feature</t>
        </is>
      </c>
      <c r="I8" s="19" t="inlineStr">
        <is>
          <t>High</t>
        </is>
      </c>
      <c r="J8" s="19" t="inlineStr">
        <is>
          <t>In Progress</t>
        </is>
      </c>
      <c r="K8" s="25" t="n">
        <v>46199</v>
      </c>
      <c r="L8" s="25" t="n">
        <v>46244</v>
      </c>
      <c r="M8" s="25" t="n"/>
      <c r="N8" s="19" t="n">
        <v>32</v>
      </c>
      <c r="O8" s="20">
        <f>ROUND(SUMIFS(Tbl_TimeLog[Total Hours],Tbl_TimeLog[Task],B8),1)</f>
        <v/>
      </c>
      <c r="P8" s="26">
        <f>IF(J8="Completed",1,IF(OR(J8="Cancelled",N8=0),0,MIN(0.95,O8/N8)))</f>
        <v/>
      </c>
      <c r="Q8" s="19" t="inlineStr"/>
    </row>
    <row r="9">
      <c r="B9" s="19">
        <f>"TASK-"&amp;TEXT(SUBTOTAL(103,$K$4:K9),"0000")</f>
        <v/>
      </c>
      <c r="C9" s="19" t="inlineStr">
        <is>
          <t>Write onboarding email sequence</t>
        </is>
      </c>
      <c r="D9" s="19" t="inlineStr">
        <is>
          <t>Self-Serve Onboarding</t>
        </is>
      </c>
      <c r="E9" s="19">
        <f>IFERROR(INDEX(Tbl_Projects[Company],MATCH(D9,Tbl_Projects[Project Name],0)),"")</f>
        <v/>
      </c>
      <c r="F9" s="19" t="inlineStr">
        <is>
          <t>Marketing</t>
        </is>
      </c>
      <c r="G9" s="19" t="inlineStr">
        <is>
          <t>Bilal Ahmed</t>
        </is>
      </c>
      <c r="H9" s="19" t="inlineStr">
        <is>
          <t>Content</t>
        </is>
      </c>
      <c r="I9" s="19" t="inlineStr">
        <is>
          <t>Medium</t>
        </is>
      </c>
      <c r="J9" s="19" t="inlineStr">
        <is>
          <t>In Review</t>
        </is>
      </c>
      <c r="K9" s="25" t="n">
        <v>46204</v>
      </c>
      <c r="L9" s="25" t="n">
        <v>46223</v>
      </c>
      <c r="M9" s="25" t="n"/>
      <c r="N9" s="19" t="n">
        <v>10</v>
      </c>
      <c r="O9" s="20">
        <f>ROUND(SUMIFS(Tbl_TimeLog[Total Hours],Tbl_TimeLog[Task],B9),1)</f>
        <v/>
      </c>
      <c r="P9" s="26">
        <f>IF(J9="Completed",1,IF(OR(J9="Cancelled",N9=0),0,MIN(0.95,O9/N9)))</f>
        <v/>
      </c>
      <c r="Q9" s="19" t="inlineStr"/>
    </row>
    <row r="10">
      <c r="B10" s="19">
        <f>"TASK-"&amp;TEXT(SUBTOTAL(103,$K$4:K10),"0000")</f>
        <v/>
      </c>
      <c r="C10" s="19" t="inlineStr">
        <is>
          <t>Draft security policy documents</t>
        </is>
      </c>
      <c r="D10" s="19" t="inlineStr">
        <is>
          <t>SOC 2 Prep</t>
        </is>
      </c>
      <c r="E10" s="19">
        <f>IFERROR(INDEX(Tbl_Projects[Company],MATCH(D10,Tbl_Projects[Project Name],0)),"")</f>
        <v/>
      </c>
      <c r="F10" s="19" t="inlineStr">
        <is>
          <t>Operations</t>
        </is>
      </c>
      <c r="G10" s="19" t="inlineStr">
        <is>
          <t>Humayra Shajahan</t>
        </is>
      </c>
      <c r="H10" s="19" t="inlineStr">
        <is>
          <t>Admin</t>
        </is>
      </c>
      <c r="I10" s="19" t="inlineStr">
        <is>
          <t>Medium</t>
        </is>
      </c>
      <c r="J10" s="19" t="inlineStr">
        <is>
          <t>Not Started</t>
        </is>
      </c>
      <c r="K10" s="25" t="n">
        <v>46266</v>
      </c>
      <c r="L10" s="25" t="n">
        <v>46295</v>
      </c>
      <c r="M10" s="25" t="n"/>
      <c r="N10" s="19" t="n">
        <v>20</v>
      </c>
      <c r="O10" s="20">
        <f>ROUND(SUMIFS(Tbl_TimeLog[Total Hours],Tbl_TimeLog[Task],B10),1)</f>
        <v/>
      </c>
      <c r="P10" s="26">
        <f>IF(J10="Completed",1,IF(OR(J10="Cancelled",N10=0),0,MIN(0.95,O10/N10)))</f>
        <v/>
      </c>
      <c r="Q10" s="19" t="inlineStr"/>
    </row>
    <row r="11">
      <c r="B11" s="19">
        <f>"TASK-"&amp;TEXT(SUBTOTAL(103,$K$4:K11),"0000")</f>
        <v/>
      </c>
      <c r="C11" s="19" t="inlineStr">
        <is>
          <t>Photograph winter collection lookbook</t>
        </is>
      </c>
      <c r="D11" s="19" t="inlineStr">
        <is>
          <t>Winter Collection Launch</t>
        </is>
      </c>
      <c r="E11" s="19">
        <f>IFERROR(INDEX(Tbl_Projects[Company],MATCH(D11,Tbl_Projects[Project Name],0)),"")</f>
        <v/>
      </c>
      <c r="F11" s="19" t="inlineStr">
        <is>
          <t>Marketing</t>
        </is>
      </c>
      <c r="G11" s="19" t="inlineStr">
        <is>
          <t>Bilal Ahmed</t>
        </is>
      </c>
      <c r="H11" s="19" t="inlineStr">
        <is>
          <t>Content</t>
        </is>
      </c>
      <c r="I11" s="19" t="inlineStr">
        <is>
          <t>High</t>
        </is>
      </c>
      <c r="J11" s="19" t="inlineStr">
        <is>
          <t>In Progress</t>
        </is>
      </c>
      <c r="K11" s="25" t="n">
        <v>46204</v>
      </c>
      <c r="L11" s="25" t="n">
        <v>46228</v>
      </c>
      <c r="M11" s="25" t="n"/>
      <c r="N11" s="19" t="n">
        <v>18</v>
      </c>
      <c r="O11" s="20">
        <f>ROUND(SUMIFS(Tbl_TimeLog[Total Hours],Tbl_TimeLog[Task],B11),1)</f>
        <v/>
      </c>
      <c r="P11" s="26">
        <f>IF(J11="Completed",1,IF(OR(J11="Cancelled",N11=0),0,MIN(0.95,O11/N11)))</f>
        <v/>
      </c>
      <c r="Q11" s="19" t="inlineStr"/>
    </row>
    <row r="12">
      <c r="B12" s="19">
        <f>"TASK-"&amp;TEXT(SUBTOTAL(103,$K$4:K12),"0000")</f>
        <v/>
      </c>
      <c r="C12" s="19" t="inlineStr">
        <is>
          <t>Negotiate supplier pricing for glaze materials</t>
        </is>
      </c>
      <c r="D12" s="19" t="inlineStr">
        <is>
          <t>Winter Collection Launch</t>
        </is>
      </c>
      <c r="E12" s="19">
        <f>IFERROR(INDEX(Tbl_Projects[Company],MATCH(D12,Tbl_Projects[Project Name],0)),"")</f>
        <v/>
      </c>
      <c r="F12" s="19" t="inlineStr">
        <is>
          <t>Operations</t>
        </is>
      </c>
      <c r="G12" s="19" t="inlineStr">
        <is>
          <t>Nadia Farooq</t>
        </is>
      </c>
      <c r="H12" s="19" t="inlineStr">
        <is>
          <t>Ops</t>
        </is>
      </c>
      <c r="I12" s="19" t="inlineStr">
        <is>
          <t>High</t>
        </is>
      </c>
      <c r="J12" s="19" t="inlineStr">
        <is>
          <t>In Progress</t>
        </is>
      </c>
      <c r="K12" s="25" t="n">
        <v>46193</v>
      </c>
      <c r="L12" s="25" t="n">
        <v>46233</v>
      </c>
      <c r="M12" s="25" t="n"/>
      <c r="N12" s="19" t="n">
        <v>12</v>
      </c>
      <c r="O12" s="20">
        <f>ROUND(SUMIFS(Tbl_TimeLog[Total Hours],Tbl_TimeLog[Task],B12),1)</f>
        <v/>
      </c>
      <c r="P12" s="26">
        <f>IF(J12="Completed",1,IF(OR(J12="Cancelled",N12=0),0,MIN(0.95,O12/N12)))</f>
        <v/>
      </c>
      <c r="Q12" s="19" t="inlineStr"/>
    </row>
    <row r="13">
      <c r="B13" s="19">
        <f>"TASK-"&amp;TEXT(SUBTOTAL(103,$K$4:K13),"0000")</f>
        <v/>
      </c>
      <c r="C13" s="19" t="inlineStr">
        <is>
          <t>Launch paid social campaign</t>
        </is>
      </c>
      <c r="D13" s="19" t="inlineStr">
        <is>
          <t>Winter Collection Launch</t>
        </is>
      </c>
      <c r="E13" s="19">
        <f>IFERROR(INDEX(Tbl_Projects[Company],MATCH(D13,Tbl_Projects[Project Name],0)),"")</f>
        <v/>
      </c>
      <c r="F13" s="19" t="inlineStr">
        <is>
          <t>Marketing</t>
        </is>
      </c>
      <c r="G13" s="19" t="inlineStr">
        <is>
          <t>Bilal Ahmed</t>
        </is>
      </c>
      <c r="H13" s="19" t="inlineStr">
        <is>
          <t>Ops</t>
        </is>
      </c>
      <c r="I13" s="19" t="inlineStr">
        <is>
          <t>Critical</t>
        </is>
      </c>
      <c r="J13" s="19" t="inlineStr">
        <is>
          <t>Not Started</t>
        </is>
      </c>
      <c r="K13" s="25" t="n">
        <v>46249</v>
      </c>
      <c r="L13" s="25" t="n">
        <v>46280</v>
      </c>
      <c r="M13" s="25" t="n"/>
      <c r="N13" s="19" t="n">
        <v>20</v>
      </c>
      <c r="O13" s="20">
        <f>ROUND(SUMIFS(Tbl_TimeLog[Total Hours],Tbl_TimeLog[Task],B13),1)</f>
        <v/>
      </c>
      <c r="P13" s="26">
        <f>IF(J13="Completed",1,IF(OR(J13="Cancelled",N13=0),0,MIN(0.95,O13/N13)))</f>
        <v/>
      </c>
      <c r="Q13" s="19" t="inlineStr"/>
    </row>
    <row r="14">
      <c r="B14" s="19">
        <f>"TASK-"&amp;TEXT(SUBTOTAL(103,$K$4:K14),"0000")</f>
        <v/>
      </c>
      <c r="C14" s="19" t="inlineStr">
        <is>
          <t>Map current pick/pack workflow</t>
        </is>
      </c>
      <c r="D14" s="19" t="inlineStr">
        <is>
          <t>Warehouse Automation</t>
        </is>
      </c>
      <c r="E14" s="19">
        <f>IFERROR(INDEX(Tbl_Projects[Company],MATCH(D14,Tbl_Projects[Project Name],0)),"")</f>
        <v/>
      </c>
      <c r="F14" s="19" t="inlineStr">
        <is>
          <t>Operations</t>
        </is>
      </c>
      <c r="G14" s="19" t="inlineStr">
        <is>
          <t>Nadia Farooq</t>
        </is>
      </c>
      <c r="H14" s="19" t="inlineStr">
        <is>
          <t>Research</t>
        </is>
      </c>
      <c r="I14" s="19" t="inlineStr">
        <is>
          <t>Medium</t>
        </is>
      </c>
      <c r="J14" s="19" t="inlineStr">
        <is>
          <t>Completed</t>
        </is>
      </c>
      <c r="K14" s="25" t="n">
        <v>46204</v>
      </c>
      <c r="L14" s="25" t="n">
        <v>46213</v>
      </c>
      <c r="M14" s="25" t="n">
        <v>46212</v>
      </c>
      <c r="N14" s="19" t="n">
        <v>14</v>
      </c>
      <c r="O14" s="20">
        <f>ROUND(SUMIFS(Tbl_TimeLog[Total Hours],Tbl_TimeLog[Task],B14),1)</f>
        <v/>
      </c>
      <c r="P14" s="26">
        <f>IF(J14="Completed",1,IF(OR(J14="Cancelled",N14=0),0,MIN(0.95,O14/N14)))</f>
        <v/>
      </c>
      <c r="Q14" s="19" t="inlineStr"/>
    </row>
    <row r="15">
      <c r="B15" s="19">
        <f>"TASK-"&amp;TEXT(SUBTOTAL(103,$K$4:K15),"0000")</f>
        <v/>
      </c>
      <c r="C15" s="19" t="inlineStr">
        <is>
          <t>Evaluate 3 warehouse automation vendors</t>
        </is>
      </c>
      <c r="D15" s="19" t="inlineStr">
        <is>
          <t>Warehouse Automation</t>
        </is>
      </c>
      <c r="E15" s="19">
        <f>IFERROR(INDEX(Tbl_Projects[Company],MATCH(D15,Tbl_Projects[Project Name],0)),"")</f>
        <v/>
      </c>
      <c r="F15" s="19" t="inlineStr">
        <is>
          <t>Operations</t>
        </is>
      </c>
      <c r="G15" s="19" t="inlineStr">
        <is>
          <t>Nadia Farooq</t>
        </is>
      </c>
      <c r="H15" s="19" t="inlineStr">
        <is>
          <t>Research</t>
        </is>
      </c>
      <c r="I15" s="19" t="inlineStr">
        <is>
          <t>Medium</t>
        </is>
      </c>
      <c r="J15" s="19" t="inlineStr">
        <is>
          <t>In Progress</t>
        </is>
      </c>
      <c r="K15" s="25" t="n">
        <v>46214</v>
      </c>
      <c r="L15" s="25" t="n">
        <v>46239</v>
      </c>
      <c r="M15" s="25" t="n"/>
      <c r="N15" s="19" t="n">
        <v>18</v>
      </c>
      <c r="O15" s="20">
        <f>ROUND(SUMIFS(Tbl_TimeLog[Total Hours],Tbl_TimeLog[Task],B15),1)</f>
        <v/>
      </c>
      <c r="P15" s="26">
        <f>IF(J15="Completed",1,IF(OR(J15="Cancelled",N15=0),0,MIN(0.95,O15/N15)))</f>
        <v/>
      </c>
      <c r="Q15" s="19" t="inlineStr"/>
    </row>
    <row r="16">
      <c r="B16" s="19">
        <f>"TASK-"&amp;TEXT(SUBTOTAL(103,$K$4:K16),"0000")</f>
        <v/>
      </c>
      <c r="C16" s="19" t="inlineStr">
        <is>
          <t>Build tutor profile + search UI</t>
        </is>
      </c>
      <c r="D16" s="19" t="inlineStr">
        <is>
          <t>MVP Marketplace Build</t>
        </is>
      </c>
      <c r="E16" s="19">
        <f>IFERROR(INDEX(Tbl_Projects[Company],MATCH(D16,Tbl_Projects[Project Name],0)),"")</f>
        <v/>
      </c>
      <c r="F16" s="19" t="inlineStr">
        <is>
          <t>Engineering</t>
        </is>
      </c>
      <c r="G16" s="19" t="inlineStr">
        <is>
          <t>Omar Siddiqui</t>
        </is>
      </c>
      <c r="H16" s="19" t="inlineStr">
        <is>
          <t>Feature</t>
        </is>
      </c>
      <c r="I16" s="19" t="inlineStr">
        <is>
          <t>Critical</t>
        </is>
      </c>
      <c r="J16" s="19" t="inlineStr">
        <is>
          <t>In Progress</t>
        </is>
      </c>
      <c r="K16" s="25" t="n">
        <v>46174</v>
      </c>
      <c r="L16" s="25" t="n">
        <v>46223</v>
      </c>
      <c r="M16" s="25" t="n"/>
      <c r="N16" s="19" t="n">
        <v>60</v>
      </c>
      <c r="O16" s="20">
        <f>ROUND(SUMIFS(Tbl_TimeLog[Total Hours],Tbl_TimeLog[Task],B16),1)</f>
        <v/>
      </c>
      <c r="P16" s="26">
        <f>IF(J16="Completed",1,IF(OR(J16="Cancelled",N16=0),0,MIN(0.95,O16/N16)))</f>
        <v/>
      </c>
      <c r="Q16" s="19" t="inlineStr"/>
    </row>
    <row r="17">
      <c r="B17" s="19">
        <f>"TASK-"&amp;TEXT(SUBTOTAL(103,$K$4:K17),"0000")</f>
        <v/>
      </c>
      <c r="C17" s="19" t="inlineStr">
        <is>
          <t>Implement booking + payments flow</t>
        </is>
      </c>
      <c r="D17" s="19" t="inlineStr">
        <is>
          <t>MVP Marketplace Build</t>
        </is>
      </c>
      <c r="E17" s="19">
        <f>IFERROR(INDEX(Tbl_Projects[Company],MATCH(D17,Tbl_Projects[Project Name],0)),"")</f>
        <v/>
      </c>
      <c r="F17" s="19" t="inlineStr">
        <is>
          <t>Engineering</t>
        </is>
      </c>
      <c r="G17" s="19" t="inlineStr">
        <is>
          <t>Omar Siddiqui</t>
        </is>
      </c>
      <c r="H17" s="19" t="inlineStr">
        <is>
          <t>Feature</t>
        </is>
      </c>
      <c r="I17" s="19" t="inlineStr">
        <is>
          <t>Critical</t>
        </is>
      </c>
      <c r="J17" s="19" t="inlineStr">
        <is>
          <t>Not Started</t>
        </is>
      </c>
      <c r="K17" s="25" t="n">
        <v>46224</v>
      </c>
      <c r="L17" s="25" t="n">
        <v>46266</v>
      </c>
      <c r="M17" s="25" t="n"/>
      <c r="N17" s="19" t="n">
        <v>80</v>
      </c>
      <c r="O17" s="20">
        <f>ROUND(SUMIFS(Tbl_TimeLog[Total Hours],Tbl_TimeLog[Task],B17),1)</f>
        <v/>
      </c>
      <c r="P17" s="26">
        <f>IF(J17="Completed",1,IF(OR(J17="Cancelled",N17=0),0,MIN(0.95,O17/N17)))</f>
        <v/>
      </c>
      <c r="Q17" s="19" t="inlineStr"/>
    </row>
    <row r="18">
      <c r="B18" s="19">
        <f>"TASK-"&amp;TEXT(SUBTOTAL(103,$K$4:K18),"0000")</f>
        <v/>
      </c>
      <c r="C18" s="19" t="inlineStr">
        <is>
          <t>Set up automated background checks</t>
        </is>
      </c>
      <c r="D18" s="19" t="inlineStr">
        <is>
          <t>MVP Marketplace Build</t>
        </is>
      </c>
      <c r="E18" s="19">
        <f>IFERROR(INDEX(Tbl_Projects[Company],MATCH(D18,Tbl_Projects[Project Name],0)),"")</f>
        <v/>
      </c>
      <c r="F18" s="19" t="inlineStr">
        <is>
          <t>Operations</t>
        </is>
      </c>
      <c r="G18" s="19" t="inlineStr">
        <is>
          <t>Omar Siddiqui</t>
        </is>
      </c>
      <c r="H18" s="19" t="inlineStr">
        <is>
          <t>Ops</t>
        </is>
      </c>
      <c r="I18" s="19" t="inlineStr">
        <is>
          <t>High</t>
        </is>
      </c>
      <c r="J18" s="19" t="inlineStr">
        <is>
          <t>Not Started</t>
        </is>
      </c>
      <c r="K18" s="25" t="n">
        <v>46235</v>
      </c>
      <c r="L18" s="25" t="n">
        <v>46275</v>
      </c>
      <c r="M18" s="25" t="n"/>
      <c r="N18" s="19" t="n">
        <v>16</v>
      </c>
      <c r="O18" s="20">
        <f>ROUND(SUMIFS(Tbl_TimeLog[Total Hours],Tbl_TimeLog[Task],B18),1)</f>
        <v/>
      </c>
      <c r="P18" s="26">
        <f>IF(J18="Completed",1,IF(OR(J18="Cancelled",N18=0),0,MIN(0.95,O18/N18)))</f>
        <v/>
      </c>
      <c r="Q18" s="19" t="inlineStr"/>
    </row>
    <row r="19">
      <c r="B19" s="19">
        <f>"TASK-"&amp;TEXT(SUBTOTAL(103,$K$4:K19),"0000")</f>
        <v/>
      </c>
      <c r="C19" s="19" t="inlineStr">
        <is>
          <t>Interview 15 parents on tutoring pain points</t>
        </is>
      </c>
      <c r="D19" s="19" t="inlineStr">
        <is>
          <t>Market Validation Interviews</t>
        </is>
      </c>
      <c r="E19" s="19">
        <f>IFERROR(INDEX(Tbl_Projects[Company],MATCH(D19,Tbl_Projects[Project Name],0)),"")</f>
        <v/>
      </c>
      <c r="F19" s="19" t="inlineStr">
        <is>
          <t>Product</t>
        </is>
      </c>
      <c r="G19" s="19" t="inlineStr">
        <is>
          <t>Humayra Shajahan</t>
        </is>
      </c>
      <c r="H19" s="19" t="inlineStr">
        <is>
          <t>Research</t>
        </is>
      </c>
      <c r="I19" s="19" t="inlineStr">
        <is>
          <t>High</t>
        </is>
      </c>
      <c r="J19" s="19" t="inlineStr">
        <is>
          <t>Completed</t>
        </is>
      </c>
      <c r="K19" s="25" t="n">
        <v>46143</v>
      </c>
      <c r="L19" s="25" t="n">
        <v>46174</v>
      </c>
      <c r="M19" s="25" t="n">
        <v>46172</v>
      </c>
      <c r="N19" s="19" t="n">
        <v>20</v>
      </c>
      <c r="O19" s="20">
        <f>ROUND(SUMIFS(Tbl_TimeLog[Total Hours],Tbl_TimeLog[Task],B19),1)</f>
        <v/>
      </c>
      <c r="P19" s="26">
        <f>IF(J19="Completed",1,IF(OR(J19="Cancelled",N19=0),0,MIN(0.95,O19/N19)))</f>
        <v/>
      </c>
      <c r="Q19" s="19" t="inlineStr"/>
    </row>
    <row r="20">
      <c r="B20" s="19">
        <f>"TASK-"&amp;TEXT(SUBTOTAL(103,$K$4:K20),"0000")</f>
        <v/>
      </c>
      <c r="C20" s="19" t="inlineStr">
        <is>
          <t>Interview 15 tutors on marketplace expectations</t>
        </is>
      </c>
      <c r="D20" s="19" t="inlineStr">
        <is>
          <t>Market Validation Interviews</t>
        </is>
      </c>
      <c r="E20" s="19">
        <f>IFERROR(INDEX(Tbl_Projects[Company],MATCH(D20,Tbl_Projects[Project Name],0)),"")</f>
        <v/>
      </c>
      <c r="F20" s="19" t="inlineStr">
        <is>
          <t>Product</t>
        </is>
      </c>
      <c r="G20" s="19" t="inlineStr">
        <is>
          <t>Humayra Shajahan</t>
        </is>
      </c>
      <c r="H20" s="19" t="inlineStr">
        <is>
          <t>Research</t>
        </is>
      </c>
      <c r="I20" s="19" t="inlineStr">
        <is>
          <t>High</t>
        </is>
      </c>
      <c r="J20" s="19" t="inlineStr">
        <is>
          <t>In Review</t>
        </is>
      </c>
      <c r="K20" s="25" t="n">
        <v>46175</v>
      </c>
      <c r="L20" s="25" t="n">
        <v>46218</v>
      </c>
      <c r="M20" s="25" t="n"/>
      <c r="N20" s="19" t="n">
        <v>20</v>
      </c>
      <c r="O20" s="20">
        <f>ROUND(SUMIFS(Tbl_TimeLog[Total Hours],Tbl_TimeLog[Task],B20),1)</f>
        <v/>
      </c>
      <c r="P20" s="26">
        <f>IF(J20="Completed",1,IF(OR(J20="Cancelled",N20=0),0,MIN(0.95,O20/N20)))</f>
        <v/>
      </c>
      <c r="Q20" s="19" t="inlineStr"/>
    </row>
  </sheetData>
  <conditionalFormatting sqref="J4:J5000">
    <cfRule type="expression" priority="1" dxfId="2">
      <formula>EXACT(J4,"Not Started")</formula>
    </cfRule>
    <cfRule type="expression" priority="2" dxfId="3">
      <formula>EXACT(J4,"In Progress")</formula>
    </cfRule>
    <cfRule type="expression" priority="3" dxfId="4">
      <formula>EXACT(J4,"Blocked")</formula>
    </cfRule>
    <cfRule type="expression" priority="4" dxfId="5">
      <formula>EXACT(J4,"In Review")</formula>
    </cfRule>
    <cfRule type="expression" priority="5" dxfId="0">
      <formula>EXACT(J4,"Completed")</formula>
    </cfRule>
    <cfRule type="expression" priority="6" dxfId="2">
      <formula>EXACT(J4,"Cancelled")</formula>
    </cfRule>
    <cfRule type="expression" priority="7" dxfId="1">
      <formula>EXACT(J4,"On Hold")</formula>
    </cfRule>
  </conditionalFormatting>
  <conditionalFormatting sqref="I4:I5000">
    <cfRule type="expression" priority="8" dxfId="4">
      <formula>EXACT(I4,"Critical")</formula>
    </cfRule>
    <cfRule type="expression" priority="9" dxfId="1">
      <formula>EXACT(I4,"High")</formula>
    </cfRule>
    <cfRule type="expression" priority="10" dxfId="3">
      <formula>EXACT(I4,"Medium")</formula>
    </cfRule>
    <cfRule type="expression" priority="11" dxfId="2">
      <formula>EXACT(I4,"Low")</formula>
    </cfRule>
  </conditionalFormatting>
  <conditionalFormatting sqref="P4:P5000">
    <cfRule type="dataBar" priority="12">
      <dataBar showValue="1">
        <cfvo type="num" val="0"/>
        <cfvo type="num" val="100"/>
        <color rgb="00D97706"/>
      </dataBar>
    </cfRule>
  </conditionalFormatting>
  <conditionalFormatting sqref="B4:Q5000">
    <cfRule type="expression" priority="13" dxfId="6">
      <formula>AND($L4&lt;TODAY(),$J4&lt;&gt;"Completed",$J4&lt;&gt;"Cancelled",$L4&lt;&gt;"")</formula>
    </cfRule>
  </conditionalFormatting>
  <dataValidations count="6">
    <dataValidation sqref="D4:D5000" showDropDown="0" showInputMessage="0" showErrorMessage="0" allowBlank="1" errorTitle="Invalid entry" error="Please choose a value from the dropdown list." type="list">
      <formula1>=List_ProjectNames</formula1>
    </dataValidation>
    <dataValidation sqref="F4:F5000" showDropDown="0" showInputMessage="0" showErrorMessage="0" allowBlank="1" errorTitle="Invalid entry" error="Please choose a value from the dropdown list." type="list">
      <formula1>=List_Departments</formula1>
    </dataValidation>
    <dataValidation sqref="G4:G5000" showDropDown="0" showInputMessage="0" showErrorMessage="0" allowBlank="1" errorTitle="Invalid entry" error="Please choose a value from the dropdown list." type="list">
      <formula1>=List_EmployeeNames</formula1>
    </dataValidation>
    <dataValidation sqref="H4:H5000" showDropDown="0" showInputMessage="0" showErrorMessage="0" allowBlank="1" errorTitle="Invalid entry" error="Please choose a value from the dropdown list." type="list">
      <formula1>=List_TaskTypes</formula1>
    </dataValidation>
    <dataValidation sqref="I4:I5000" showDropDown="0" showInputMessage="0" showErrorMessage="0" allowBlank="1" errorTitle="Invalid entry" error="Please choose a value from the dropdown list." type="list">
      <formula1>=List_Priority</formula1>
    </dataValidation>
    <dataValidation sqref="J4:J5000" showDropDown="0" showInputMessage="0" showErrorMessage="0" allowBlank="1" errorTitle="Invalid entry" error="Please choose a value from the dropdown list." type="list">
      <formula1>=List_Statuses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DB2777"/>
    <outlinePr summaryBelow="1" summaryRight="1"/>
    <pageSetUpPr/>
  </sheetPr>
  <dimension ref="B1:O21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30" customWidth="1" min="4" max="4"/>
    <col width="22" customWidth="1" min="5" max="5"/>
    <col width="18" customWidth="1" min="6" max="6"/>
    <col width="18" customWidth="1" min="7" max="7"/>
    <col width="12" customWidth="1" min="8" max="8"/>
    <col width="11" customWidth="1" min="9" max="9"/>
    <col width="11" customWidth="1" min="10" max="10"/>
    <col width="11" customWidth="1" min="11" max="11"/>
    <col width="12" customWidth="1" min="12" max="12"/>
    <col width="10" customWidth="1" min="13" max="13"/>
    <col width="14" customWidth="1" min="14" max="14"/>
    <col width="26" customWidth="1" min="15" max="15"/>
  </cols>
  <sheetData>
    <row r="1" ht="24" customHeight="1">
      <c r="B1" s="22" t="inlineStr">
        <is>
          <t>⏱️  Time Log</t>
        </is>
      </c>
    </row>
    <row r="2">
      <c r="B2" s="3" t="inlineStr">
        <is>
          <t>One row per work session. Task Name/Project/Company auto-fill from the selected Task.</t>
        </is>
      </c>
    </row>
    <row r="3" ht="32" customHeight="1">
      <c r="B3" s="30" t="inlineStr">
        <is>
          <t>Log ID</t>
        </is>
      </c>
      <c r="C3" s="30" t="inlineStr">
        <is>
          <t>Task</t>
        </is>
      </c>
      <c r="D3" s="30" t="inlineStr">
        <is>
          <t>Task Name</t>
        </is>
      </c>
      <c r="E3" s="30" t="inlineStr">
        <is>
          <t>Project</t>
        </is>
      </c>
      <c r="F3" s="30" t="inlineStr">
        <is>
          <t>Company</t>
        </is>
      </c>
      <c r="G3" s="30" t="inlineStr">
        <is>
          <t>Employee</t>
        </is>
      </c>
      <c r="H3" s="30" t="inlineStr">
        <is>
          <t>Date</t>
        </is>
      </c>
      <c r="I3" s="30" t="inlineStr">
        <is>
          <t>Start Time</t>
        </is>
      </c>
      <c r="J3" s="30" t="inlineStr">
        <is>
          <t>End Time</t>
        </is>
      </c>
      <c r="K3" s="30" t="inlineStr">
        <is>
          <t>Break (min)</t>
        </is>
      </c>
      <c r="L3" s="30" t="inlineStr">
        <is>
          <t>Total Hours</t>
        </is>
      </c>
      <c r="M3" s="30" t="inlineStr">
        <is>
          <t>Billable</t>
        </is>
      </c>
      <c r="N3" s="30" t="inlineStr">
        <is>
          <t>Category</t>
        </is>
      </c>
      <c r="O3" s="30" t="inlineStr">
        <is>
          <t>Notes</t>
        </is>
      </c>
    </row>
    <row r="4">
      <c r="B4" s="19">
        <f>"TL-"&amp;TEXT(SUBTOTAL(103,$H$4:H4),"0000")</f>
        <v/>
      </c>
      <c r="C4" s="19" t="inlineStr">
        <is>
          <t>TASK-0001</t>
        </is>
      </c>
      <c r="D4" s="19">
        <f>IFERROR(INDEX(Tbl_Tasks[Task Name],MATCH(C4,Tbl_Tasks[Task ID],0)),"")</f>
        <v/>
      </c>
      <c r="E4" s="19">
        <f>IFERROR(INDEX(Tbl_Tasks[Project],MATCH(C4,Tbl_Tasks[Task ID],0)),"")</f>
        <v/>
      </c>
      <c r="F4" s="19">
        <f>IFERROR(INDEX(Tbl_Tasks[Company],MATCH(C4,Tbl_Tasks[Task ID],0)),"")</f>
        <v/>
      </c>
      <c r="G4" s="19" t="inlineStr">
        <is>
          <t>Ali Raza</t>
        </is>
      </c>
      <c r="H4" s="25" t="n">
        <v>46223</v>
      </c>
      <c r="I4" s="31" t="n">
        <v>0.375</v>
      </c>
      <c r="J4" s="31" t="n">
        <v>0.5208333333333334</v>
      </c>
      <c r="K4" s="19" t="n">
        <v>15</v>
      </c>
      <c r="L4" s="32">
        <f>ROUND(MAX(0,((J4-I4)*24)-(K4/60)),2)</f>
        <v/>
      </c>
      <c r="M4" s="19" t="inlineStr">
        <is>
          <t>Yes</t>
        </is>
      </c>
      <c r="N4" s="19" t="inlineStr">
        <is>
          <t>Deep Work</t>
        </is>
      </c>
      <c r="O4" s="19" t="inlineStr">
        <is>
          <t>Query layer refactor</t>
        </is>
      </c>
    </row>
    <row r="5">
      <c r="B5" s="19">
        <f>"TL-"&amp;TEXT(SUBTOTAL(103,$H$4:H5),"0000")</f>
        <v/>
      </c>
      <c r="C5" s="19" t="inlineStr">
        <is>
          <t>TASK-0001</t>
        </is>
      </c>
      <c r="D5" s="19">
        <f>IFERROR(INDEX(Tbl_Tasks[Task Name],MATCH(C5,Tbl_Tasks[Task ID],0)),"")</f>
        <v/>
      </c>
      <c r="E5" s="19">
        <f>IFERROR(INDEX(Tbl_Tasks[Project],MATCH(C5,Tbl_Tasks[Task ID],0)),"")</f>
        <v/>
      </c>
      <c r="F5" s="19">
        <f>IFERROR(INDEX(Tbl_Tasks[Company],MATCH(C5,Tbl_Tasks[Task ID],0)),"")</f>
        <v/>
      </c>
      <c r="G5" s="19" t="inlineStr">
        <is>
          <t>Ali Raza</t>
        </is>
      </c>
      <c r="H5" s="25" t="n">
        <v>46224</v>
      </c>
      <c r="I5" s="31" t="n">
        <v>0.3854166666666667</v>
      </c>
      <c r="J5" s="31" t="n">
        <v>0.5416666666666666</v>
      </c>
      <c r="K5" s="19" t="n">
        <v>15</v>
      </c>
      <c r="L5" s="32">
        <f>ROUND(MAX(0,((J5-I5)*24)-(K5/60)),2)</f>
        <v/>
      </c>
      <c r="M5" s="19" t="inlineStr">
        <is>
          <t>Yes</t>
        </is>
      </c>
      <c r="N5" s="19" t="inlineStr">
        <is>
          <t>Deep Work</t>
        </is>
      </c>
      <c r="O5" s="19" t="inlineStr">
        <is>
          <t>Partition testing</t>
        </is>
      </c>
    </row>
    <row r="6">
      <c r="B6" s="19">
        <f>"TL-"&amp;TEXT(SUBTOTAL(103,$H$4:H6),"0000")</f>
        <v/>
      </c>
      <c r="C6" s="19" t="inlineStr">
        <is>
          <t>TASK-0002</t>
        </is>
      </c>
      <c r="D6" s="19">
        <f>IFERROR(INDEX(Tbl_Tasks[Task Name],MATCH(C6,Tbl_Tasks[Task ID],0)),"")</f>
        <v/>
      </c>
      <c r="E6" s="19">
        <f>IFERROR(INDEX(Tbl_Tasks[Project],MATCH(C6,Tbl_Tasks[Task ID],0)),"")</f>
        <v/>
      </c>
      <c r="F6" s="19">
        <f>IFERROR(INDEX(Tbl_Tasks[Company],MATCH(C6,Tbl_Tasks[Task ID],0)),"")</f>
        <v/>
      </c>
      <c r="G6" s="19" t="inlineStr">
        <is>
          <t>Ali Raza</t>
        </is>
      </c>
      <c r="H6" s="25" t="n">
        <v>46225</v>
      </c>
      <c r="I6" s="31" t="n">
        <v>0.4166666666666667</v>
      </c>
      <c r="J6" s="31" t="n">
        <v>0.5</v>
      </c>
      <c r="K6" s="19" t="n">
        <v>0</v>
      </c>
      <c r="L6" s="32">
        <f>ROUND(MAX(0,((J6-I6)*24)-(K6/60)),2)</f>
        <v/>
      </c>
      <c r="M6" s="19" t="inlineStr">
        <is>
          <t>Yes</t>
        </is>
      </c>
      <c r="N6" s="19" t="inlineStr">
        <is>
          <t>Deep Work</t>
        </is>
      </c>
      <c r="O6" s="19" t="inlineStr">
        <is>
          <t>Cache design spike</t>
        </is>
      </c>
    </row>
    <row r="7">
      <c r="B7" s="19">
        <f>"TL-"&amp;TEXT(SUBTOTAL(103,$H$4:H7),"0000")</f>
        <v/>
      </c>
      <c r="C7" s="19" t="inlineStr">
        <is>
          <t>TASK-0003</t>
        </is>
      </c>
      <c r="D7" s="19">
        <f>IFERROR(INDEX(Tbl_Tasks[Task Name],MATCH(C7,Tbl_Tasks[Task ID],0)),"")</f>
        <v/>
      </c>
      <c r="E7" s="19">
        <f>IFERROR(INDEX(Tbl_Tasks[Project],MATCH(C7,Tbl_Tasks[Task ID],0)),"")</f>
        <v/>
      </c>
      <c r="F7" s="19">
        <f>IFERROR(INDEX(Tbl_Tasks[Company],MATCH(C7,Tbl_Tasks[Task ID],0)),"")</f>
        <v/>
      </c>
      <c r="G7" s="19" t="inlineStr">
        <is>
          <t>Ali Raza</t>
        </is>
      </c>
      <c r="H7" s="25" t="n">
        <v>46159</v>
      </c>
      <c r="I7" s="31" t="n">
        <v>0.5833333333333334</v>
      </c>
      <c r="J7" s="31" t="n">
        <v>0.75</v>
      </c>
      <c r="K7" s="19" t="n">
        <v>15</v>
      </c>
      <c r="L7" s="32">
        <f>ROUND(MAX(0,((J7-I7)*24)-(K7/60)),2)</f>
        <v/>
      </c>
      <c r="M7" s="19" t="inlineStr">
        <is>
          <t>Yes</t>
        </is>
      </c>
      <c r="N7" s="19" t="inlineStr">
        <is>
          <t>Deep Work</t>
        </is>
      </c>
      <c r="O7" s="19" t="inlineStr">
        <is>
          <t>Safari bug repro + fix</t>
        </is>
      </c>
    </row>
    <row r="8">
      <c r="B8" s="19">
        <f>"TL-"&amp;TEXT(SUBTOTAL(103,$H$4:H8),"0000")</f>
        <v/>
      </c>
      <c r="C8" s="19" t="inlineStr">
        <is>
          <t>TASK-0004</t>
        </is>
      </c>
      <c r="D8" s="19">
        <f>IFERROR(INDEX(Tbl_Tasks[Task Name],MATCH(C8,Tbl_Tasks[Task ID],0)),"")</f>
        <v/>
      </c>
      <c r="E8" s="19">
        <f>IFERROR(INDEX(Tbl_Tasks[Project],MATCH(C8,Tbl_Tasks[Task ID],0)),"")</f>
        <v/>
      </c>
      <c r="F8" s="19">
        <f>IFERROR(INDEX(Tbl_Tasks[Company],MATCH(C8,Tbl_Tasks[Task ID],0)),"")</f>
        <v/>
      </c>
      <c r="G8" s="19" t="inlineStr">
        <is>
          <t>Sara Khan</t>
        </is>
      </c>
      <c r="H8" s="25" t="n">
        <v>46191</v>
      </c>
      <c r="I8" s="31" t="n">
        <v>0.375</v>
      </c>
      <c r="J8" s="31" t="n">
        <v>0.5416666666666666</v>
      </c>
      <c r="K8" s="19" t="n">
        <v>15</v>
      </c>
      <c r="L8" s="32">
        <f>ROUND(MAX(0,((J8-I8)*24)-(K8/60)),2)</f>
        <v/>
      </c>
      <c r="M8" s="19" t="inlineStr">
        <is>
          <t>Yes</t>
        </is>
      </c>
      <c r="N8" s="19" t="inlineStr">
        <is>
          <t>Deep Work</t>
        </is>
      </c>
      <c r="O8" s="19" t="inlineStr">
        <is>
          <t>Wireframes v1</t>
        </is>
      </c>
    </row>
    <row r="9">
      <c r="B9" s="19">
        <f>"TL-"&amp;TEXT(SUBTOTAL(103,$H$4:H9),"0000")</f>
        <v/>
      </c>
      <c r="C9" s="19" t="inlineStr">
        <is>
          <t>TASK-0004</t>
        </is>
      </c>
      <c r="D9" s="19">
        <f>IFERROR(INDEX(Tbl_Tasks[Task Name],MATCH(C9,Tbl_Tasks[Task ID],0)),"")</f>
        <v/>
      </c>
      <c r="E9" s="19">
        <f>IFERROR(INDEX(Tbl_Tasks[Project],MATCH(C9,Tbl_Tasks[Task ID],0)),"")</f>
        <v/>
      </c>
      <c r="F9" s="19">
        <f>IFERROR(INDEX(Tbl_Tasks[Company],MATCH(C9,Tbl_Tasks[Task ID],0)),"")</f>
        <v/>
      </c>
      <c r="G9" s="19" t="inlineStr">
        <is>
          <t>Sara Khan</t>
        </is>
      </c>
      <c r="H9" s="25" t="n">
        <v>46193</v>
      </c>
      <c r="I9" s="31" t="n">
        <v>0.375</v>
      </c>
      <c r="J9" s="31" t="n">
        <v>0.5</v>
      </c>
      <c r="K9" s="19" t="n">
        <v>0</v>
      </c>
      <c r="L9" s="32">
        <f>ROUND(MAX(0,((J9-I9)*24)-(K9/60)),2)</f>
        <v/>
      </c>
      <c r="M9" s="19" t="inlineStr">
        <is>
          <t>Yes</t>
        </is>
      </c>
      <c r="N9" s="19" t="inlineStr">
        <is>
          <t>Deep Work</t>
        </is>
      </c>
      <c r="O9" s="19" t="inlineStr">
        <is>
          <t>Wireframes v2 + review</t>
        </is>
      </c>
    </row>
    <row r="10">
      <c r="B10" s="19">
        <f>"TL-"&amp;TEXT(SUBTOTAL(103,$H$4:H10),"0000")</f>
        <v/>
      </c>
      <c r="C10" s="19" t="inlineStr">
        <is>
          <t>TASK-0005</t>
        </is>
      </c>
      <c r="D10" s="19">
        <f>IFERROR(INDEX(Tbl_Tasks[Task Name],MATCH(C10,Tbl_Tasks[Task ID],0)),"")</f>
        <v/>
      </c>
      <c r="E10" s="19">
        <f>IFERROR(INDEX(Tbl_Tasks[Project],MATCH(C10,Tbl_Tasks[Task ID],0)),"")</f>
        <v/>
      </c>
      <c r="F10" s="19">
        <f>IFERROR(INDEX(Tbl_Tasks[Company],MATCH(C10,Tbl_Tasks[Task ID],0)),"")</f>
        <v/>
      </c>
      <c r="G10" s="19" t="inlineStr">
        <is>
          <t>Ali Raza</t>
        </is>
      </c>
      <c r="H10" s="25" t="n">
        <v>46227</v>
      </c>
      <c r="I10" s="31" t="n">
        <v>0.375</v>
      </c>
      <c r="J10" s="31" t="n">
        <v>0.5</v>
      </c>
      <c r="K10" s="19" t="n">
        <v>0</v>
      </c>
      <c r="L10" s="32">
        <f>ROUND(MAX(0,((J10-I10)*24)-(K10/60)),2)</f>
        <v/>
      </c>
      <c r="M10" s="19" t="inlineStr">
        <is>
          <t>Yes</t>
        </is>
      </c>
      <c r="N10" s="19" t="inlineStr">
        <is>
          <t>Deep Work</t>
        </is>
      </c>
      <c r="O10" s="19" t="inlineStr">
        <is>
          <t>Product tour scaffolding</t>
        </is>
      </c>
    </row>
    <row r="11">
      <c r="B11" s="19">
        <f>"TL-"&amp;TEXT(SUBTOTAL(103,$H$4:H11),"0000")</f>
        <v/>
      </c>
      <c r="C11" s="19" t="inlineStr">
        <is>
          <t>TASK-0006</t>
        </is>
      </c>
      <c r="D11" s="19">
        <f>IFERROR(INDEX(Tbl_Tasks[Task Name],MATCH(C11,Tbl_Tasks[Task ID],0)),"")</f>
        <v/>
      </c>
      <c r="E11" s="19">
        <f>IFERROR(INDEX(Tbl_Tasks[Project],MATCH(C11,Tbl_Tasks[Task ID],0)),"")</f>
        <v/>
      </c>
      <c r="F11" s="19">
        <f>IFERROR(INDEX(Tbl_Tasks[Company],MATCH(C11,Tbl_Tasks[Task ID],0)),"")</f>
        <v/>
      </c>
      <c r="G11" s="19" t="inlineStr">
        <is>
          <t>Bilal Ahmed</t>
        </is>
      </c>
      <c r="H11" s="25" t="n">
        <v>46213</v>
      </c>
      <c r="I11" s="31" t="n">
        <v>0.4166666666666667</v>
      </c>
      <c r="J11" s="31" t="n">
        <v>0.5208333333333334</v>
      </c>
      <c r="K11" s="19" t="n">
        <v>15</v>
      </c>
      <c r="L11" s="32">
        <f>ROUND(MAX(0,((J11-I11)*24)-(K11/60)),2)</f>
        <v/>
      </c>
      <c r="M11" s="19" t="inlineStr">
        <is>
          <t>Yes</t>
        </is>
      </c>
      <c r="N11" s="19" t="inlineStr">
        <is>
          <t>Shallow Work</t>
        </is>
      </c>
      <c r="O11" s="19" t="inlineStr">
        <is>
          <t>Email copy draft</t>
        </is>
      </c>
    </row>
    <row r="12">
      <c r="B12" s="19">
        <f>"TL-"&amp;TEXT(SUBTOTAL(103,$H$4:H12),"0000")</f>
        <v/>
      </c>
      <c r="C12" s="19" t="inlineStr">
        <is>
          <t>TASK-0008</t>
        </is>
      </c>
      <c r="D12" s="19">
        <f>IFERROR(INDEX(Tbl_Tasks[Task Name],MATCH(C12,Tbl_Tasks[Task ID],0)),"")</f>
        <v/>
      </c>
      <c r="E12" s="19">
        <f>IFERROR(INDEX(Tbl_Tasks[Project],MATCH(C12,Tbl_Tasks[Task ID],0)),"")</f>
        <v/>
      </c>
      <c r="F12" s="19">
        <f>IFERROR(INDEX(Tbl_Tasks[Company],MATCH(C12,Tbl_Tasks[Task ID],0)),"")</f>
        <v/>
      </c>
      <c r="G12" s="19" t="inlineStr">
        <is>
          <t>Bilal Ahmed</t>
        </is>
      </c>
      <c r="H12" s="25" t="n">
        <v>46218</v>
      </c>
      <c r="I12" s="31" t="n">
        <v>0.375</v>
      </c>
      <c r="J12" s="31" t="n">
        <v>0.5833333333333334</v>
      </c>
      <c r="K12" s="19" t="n">
        <v>30</v>
      </c>
      <c r="L12" s="32">
        <f>ROUND(MAX(0,((J12-I12)*24)-(K12/60)),2)</f>
        <v/>
      </c>
      <c r="M12" s="19" t="inlineStr">
        <is>
          <t>Yes</t>
        </is>
      </c>
      <c r="N12" s="19" t="inlineStr">
        <is>
          <t>Shallow Work</t>
        </is>
      </c>
      <c r="O12" s="19" t="inlineStr">
        <is>
          <t>Product shoot day 1</t>
        </is>
      </c>
    </row>
    <row r="13">
      <c r="B13" s="19">
        <f>"TL-"&amp;TEXT(SUBTOTAL(103,$H$4:H13),"0000")</f>
        <v/>
      </c>
      <c r="C13" s="19" t="inlineStr">
        <is>
          <t>TASK-0008</t>
        </is>
      </c>
      <c r="D13" s="19">
        <f>IFERROR(INDEX(Tbl_Tasks[Task Name],MATCH(C13,Tbl_Tasks[Task ID],0)),"")</f>
        <v/>
      </c>
      <c r="E13" s="19">
        <f>IFERROR(INDEX(Tbl_Tasks[Project],MATCH(C13,Tbl_Tasks[Task ID],0)),"")</f>
        <v/>
      </c>
      <c r="F13" s="19">
        <f>IFERROR(INDEX(Tbl_Tasks[Company],MATCH(C13,Tbl_Tasks[Task ID],0)),"")</f>
        <v/>
      </c>
      <c r="G13" s="19" t="inlineStr">
        <is>
          <t>Bilal Ahmed</t>
        </is>
      </c>
      <c r="H13" s="25" t="n">
        <v>46219</v>
      </c>
      <c r="I13" s="31" t="n">
        <v>0.375</v>
      </c>
      <c r="J13" s="31" t="n">
        <v>0.5416666666666666</v>
      </c>
      <c r="K13" s="19" t="n">
        <v>15</v>
      </c>
      <c r="L13" s="32">
        <f>ROUND(MAX(0,((J13-I13)*24)-(K13/60)),2)</f>
        <v/>
      </c>
      <c r="M13" s="19" t="inlineStr">
        <is>
          <t>Yes</t>
        </is>
      </c>
      <c r="N13" s="19" t="inlineStr">
        <is>
          <t>Shallow Work</t>
        </is>
      </c>
      <c r="O13" s="19" t="inlineStr">
        <is>
          <t>Product shoot day 2</t>
        </is>
      </c>
    </row>
    <row r="14">
      <c r="B14" s="19">
        <f>"TL-"&amp;TEXT(SUBTOTAL(103,$H$4:H14),"0000")</f>
        <v/>
      </c>
      <c r="C14" s="19" t="inlineStr">
        <is>
          <t>TASK-0009</t>
        </is>
      </c>
      <c r="D14" s="19">
        <f>IFERROR(INDEX(Tbl_Tasks[Task Name],MATCH(C14,Tbl_Tasks[Task ID],0)),"")</f>
        <v/>
      </c>
      <c r="E14" s="19">
        <f>IFERROR(INDEX(Tbl_Tasks[Project],MATCH(C14,Tbl_Tasks[Task ID],0)),"")</f>
        <v/>
      </c>
      <c r="F14" s="19">
        <f>IFERROR(INDEX(Tbl_Tasks[Company],MATCH(C14,Tbl_Tasks[Task ID],0)),"")</f>
        <v/>
      </c>
      <c r="G14" s="19" t="inlineStr">
        <is>
          <t>Nadia Farooq</t>
        </is>
      </c>
      <c r="H14" s="25" t="n">
        <v>46208</v>
      </c>
      <c r="I14" s="31" t="n">
        <v>0.5416666666666666</v>
      </c>
      <c r="J14" s="31" t="n">
        <v>0.6666666666666666</v>
      </c>
      <c r="K14" s="19" t="n">
        <v>0</v>
      </c>
      <c r="L14" s="32">
        <f>ROUND(MAX(0,((J14-I14)*24)-(K14/60)),2)</f>
        <v/>
      </c>
      <c r="M14" s="19" t="inlineStr">
        <is>
          <t>Yes</t>
        </is>
      </c>
      <c r="N14" s="19" t="inlineStr">
        <is>
          <t>Meeting</t>
        </is>
      </c>
      <c r="O14" s="19" t="inlineStr">
        <is>
          <t>Supplier call - glaze pricing</t>
        </is>
      </c>
    </row>
    <row r="15">
      <c r="B15" s="19">
        <f>"TL-"&amp;TEXT(SUBTOTAL(103,$H$4:H15),"0000")</f>
        <v/>
      </c>
      <c r="C15" s="19" t="inlineStr">
        <is>
          <t>TASK-0011</t>
        </is>
      </c>
      <c r="D15" s="19">
        <f>IFERROR(INDEX(Tbl_Tasks[Task Name],MATCH(C15,Tbl_Tasks[Task ID],0)),"")</f>
        <v/>
      </c>
      <c r="E15" s="19">
        <f>IFERROR(INDEX(Tbl_Tasks[Project],MATCH(C15,Tbl_Tasks[Task ID],0)),"")</f>
        <v/>
      </c>
      <c r="F15" s="19">
        <f>IFERROR(INDEX(Tbl_Tasks[Company],MATCH(C15,Tbl_Tasks[Task ID],0)),"")</f>
        <v/>
      </c>
      <c r="G15" s="19" t="inlineStr">
        <is>
          <t>Nadia Farooq</t>
        </is>
      </c>
      <c r="H15" s="25" t="n">
        <v>46206</v>
      </c>
      <c r="I15" s="31" t="n">
        <v>0.375</v>
      </c>
      <c r="J15" s="31" t="n">
        <v>0.5</v>
      </c>
      <c r="K15" s="19" t="n">
        <v>0</v>
      </c>
      <c r="L15" s="32">
        <f>ROUND(MAX(0,((J15-I15)*24)-(K15/60)),2)</f>
        <v/>
      </c>
      <c r="M15" s="19" t="inlineStr">
        <is>
          <t>Yes</t>
        </is>
      </c>
      <c r="N15" s="19" t="inlineStr">
        <is>
          <t>Deep Work</t>
        </is>
      </c>
      <c r="O15" s="19" t="inlineStr">
        <is>
          <t>Workflow mapping</t>
        </is>
      </c>
    </row>
    <row r="16">
      <c r="B16" s="19">
        <f>"TL-"&amp;TEXT(SUBTOTAL(103,$H$4:H16),"0000")</f>
        <v/>
      </c>
      <c r="C16" s="19" t="inlineStr">
        <is>
          <t>TASK-0012</t>
        </is>
      </c>
      <c r="D16" s="19">
        <f>IFERROR(INDEX(Tbl_Tasks[Task Name],MATCH(C16,Tbl_Tasks[Task ID],0)),"")</f>
        <v/>
      </c>
      <c r="E16" s="19">
        <f>IFERROR(INDEX(Tbl_Tasks[Project],MATCH(C16,Tbl_Tasks[Task ID],0)),"")</f>
        <v/>
      </c>
      <c r="F16" s="19">
        <f>IFERROR(INDEX(Tbl_Tasks[Company],MATCH(C16,Tbl_Tasks[Task ID],0)),"")</f>
        <v/>
      </c>
      <c r="G16" s="19" t="inlineStr">
        <is>
          <t>Nadia Farooq</t>
        </is>
      </c>
      <c r="H16" s="25" t="n">
        <v>46221</v>
      </c>
      <c r="I16" s="31" t="n">
        <v>0.4166666666666667</v>
      </c>
      <c r="J16" s="31" t="n">
        <v>0.5625</v>
      </c>
      <c r="K16" s="19" t="n">
        <v>15</v>
      </c>
      <c r="L16" s="32">
        <f>ROUND(MAX(0,((J16-I16)*24)-(K16/60)),2)</f>
        <v/>
      </c>
      <c r="M16" s="19" t="inlineStr">
        <is>
          <t>Yes</t>
        </is>
      </c>
      <c r="N16" s="19" t="inlineStr">
        <is>
          <t>Deep Work</t>
        </is>
      </c>
      <c r="O16" s="19" t="inlineStr">
        <is>
          <t>Vendor demo #1</t>
        </is>
      </c>
    </row>
    <row r="17">
      <c r="B17" s="19">
        <f>"TL-"&amp;TEXT(SUBTOTAL(103,$H$4:H17),"0000")</f>
        <v/>
      </c>
      <c r="C17" s="19" t="inlineStr">
        <is>
          <t>TASK-0013</t>
        </is>
      </c>
      <c r="D17" s="19">
        <f>IFERROR(INDEX(Tbl_Tasks[Task Name],MATCH(C17,Tbl_Tasks[Task ID],0)),"")</f>
        <v/>
      </c>
      <c r="E17" s="19">
        <f>IFERROR(INDEX(Tbl_Tasks[Project],MATCH(C17,Tbl_Tasks[Task ID],0)),"")</f>
        <v/>
      </c>
      <c r="F17" s="19">
        <f>IFERROR(INDEX(Tbl_Tasks[Company],MATCH(C17,Tbl_Tasks[Task ID],0)),"")</f>
        <v/>
      </c>
      <c r="G17" s="19" t="inlineStr">
        <is>
          <t>Omar Siddiqui</t>
        </is>
      </c>
      <c r="H17" s="25" t="n">
        <v>46211</v>
      </c>
      <c r="I17" s="31" t="n">
        <v>0.375</v>
      </c>
      <c r="J17" s="31" t="n">
        <v>0.5416666666666666</v>
      </c>
      <c r="K17" s="19" t="n">
        <v>15</v>
      </c>
      <c r="L17" s="32">
        <f>ROUND(MAX(0,((J17-I17)*24)-(K17/60)),2)</f>
        <v/>
      </c>
      <c r="M17" s="19" t="inlineStr">
        <is>
          <t>Yes</t>
        </is>
      </c>
      <c r="N17" s="19" t="inlineStr">
        <is>
          <t>Deep Work</t>
        </is>
      </c>
      <c r="O17" s="19" t="inlineStr">
        <is>
          <t>Search UI build</t>
        </is>
      </c>
    </row>
    <row r="18">
      <c r="B18" s="19">
        <f>"TL-"&amp;TEXT(SUBTOTAL(103,$H$4:H18),"0000")</f>
        <v/>
      </c>
      <c r="C18" s="19" t="inlineStr">
        <is>
          <t>TASK-0013</t>
        </is>
      </c>
      <c r="D18" s="19">
        <f>IFERROR(INDEX(Tbl_Tasks[Task Name],MATCH(C18,Tbl_Tasks[Task ID],0)),"")</f>
        <v/>
      </c>
      <c r="E18" s="19">
        <f>IFERROR(INDEX(Tbl_Tasks[Project],MATCH(C18,Tbl_Tasks[Task ID],0)),"")</f>
        <v/>
      </c>
      <c r="F18" s="19">
        <f>IFERROR(INDEX(Tbl_Tasks[Company],MATCH(C18,Tbl_Tasks[Task ID],0)),"")</f>
        <v/>
      </c>
      <c r="G18" s="19" t="inlineStr">
        <is>
          <t>Omar Siddiqui</t>
        </is>
      </c>
      <c r="H18" s="25" t="n">
        <v>46212</v>
      </c>
      <c r="I18" s="31" t="n">
        <v>0.375</v>
      </c>
      <c r="J18" s="31" t="n">
        <v>0.5625</v>
      </c>
      <c r="K18" s="19" t="n">
        <v>15</v>
      </c>
      <c r="L18" s="32">
        <f>ROUND(MAX(0,((J18-I18)*24)-(K18/60)),2)</f>
        <v/>
      </c>
      <c r="M18" s="19" t="inlineStr">
        <is>
          <t>Yes</t>
        </is>
      </c>
      <c r="N18" s="19" t="inlineStr">
        <is>
          <t>Deep Work</t>
        </is>
      </c>
      <c r="O18" s="19" t="inlineStr">
        <is>
          <t>Profile UI build</t>
        </is>
      </c>
    </row>
    <row r="19">
      <c r="B19" s="19">
        <f>"TL-"&amp;TEXT(SUBTOTAL(103,$H$4:H19),"0000")</f>
        <v/>
      </c>
      <c r="C19" s="19" t="inlineStr">
        <is>
          <t>TASK-0013</t>
        </is>
      </c>
      <c r="D19" s="19">
        <f>IFERROR(INDEX(Tbl_Tasks[Task Name],MATCH(C19,Tbl_Tasks[Task ID],0)),"")</f>
        <v/>
      </c>
      <c r="E19" s="19">
        <f>IFERROR(INDEX(Tbl_Tasks[Project],MATCH(C19,Tbl_Tasks[Task ID],0)),"")</f>
        <v/>
      </c>
      <c r="F19" s="19">
        <f>IFERROR(INDEX(Tbl_Tasks[Company],MATCH(C19,Tbl_Tasks[Task ID],0)),"")</f>
        <v/>
      </c>
      <c r="G19" s="19" t="inlineStr">
        <is>
          <t>Omar Siddiqui</t>
        </is>
      </c>
      <c r="H19" s="25" t="n">
        <v>46213</v>
      </c>
      <c r="I19" s="31" t="n">
        <v>0.375</v>
      </c>
      <c r="J19" s="31" t="n">
        <v>0.5</v>
      </c>
      <c r="K19" s="19" t="n">
        <v>0</v>
      </c>
      <c r="L19" s="32">
        <f>ROUND(MAX(0,((J19-I19)*24)-(K19/60)),2)</f>
        <v/>
      </c>
      <c r="M19" s="19" t="inlineStr">
        <is>
          <t>Yes</t>
        </is>
      </c>
      <c r="N19" s="19" t="inlineStr">
        <is>
          <t>Deep Work</t>
        </is>
      </c>
      <c r="O19" s="19" t="inlineStr">
        <is>
          <t>Search filters</t>
        </is>
      </c>
    </row>
    <row r="20">
      <c r="B20" s="19">
        <f>"TL-"&amp;TEXT(SUBTOTAL(103,$H$4:H20),"0000")</f>
        <v/>
      </c>
      <c r="C20" s="19" t="inlineStr">
        <is>
          <t>TASK-0016</t>
        </is>
      </c>
      <c r="D20" s="19">
        <f>IFERROR(INDEX(Tbl_Tasks[Task Name],MATCH(C20,Tbl_Tasks[Task ID],0)),"")</f>
        <v/>
      </c>
      <c r="E20" s="19">
        <f>IFERROR(INDEX(Tbl_Tasks[Project],MATCH(C20,Tbl_Tasks[Task ID],0)),"")</f>
        <v/>
      </c>
      <c r="F20" s="19">
        <f>IFERROR(INDEX(Tbl_Tasks[Company],MATCH(C20,Tbl_Tasks[Task ID],0)),"")</f>
        <v/>
      </c>
      <c r="G20" s="19" t="inlineStr">
        <is>
          <t>Humayra Shajahan</t>
        </is>
      </c>
      <c r="H20" s="25" t="n">
        <v>46162</v>
      </c>
      <c r="I20" s="31" t="n">
        <v>0.375</v>
      </c>
      <c r="J20" s="31" t="n">
        <v>0.4583333333333333</v>
      </c>
      <c r="K20" s="19" t="n">
        <v>0</v>
      </c>
      <c r="L20" s="32">
        <f>ROUND(MAX(0,((J20-I20)*24)-(K20/60)),2)</f>
        <v/>
      </c>
      <c r="M20" s="19" t="inlineStr">
        <is>
          <t>No</t>
        </is>
      </c>
      <c r="N20" s="19" t="inlineStr">
        <is>
          <t>Meeting</t>
        </is>
      </c>
      <c r="O20" s="19" t="inlineStr">
        <is>
          <t>Parent interviews batch 1</t>
        </is>
      </c>
    </row>
    <row r="21">
      <c r="B21" s="19">
        <f>"TL-"&amp;TEXT(SUBTOTAL(103,$H$4:H21),"0000")</f>
        <v/>
      </c>
      <c r="C21" s="19" t="inlineStr">
        <is>
          <t>TASK-0017</t>
        </is>
      </c>
      <c r="D21" s="19">
        <f>IFERROR(INDEX(Tbl_Tasks[Task Name],MATCH(C21,Tbl_Tasks[Task ID],0)),"")</f>
        <v/>
      </c>
      <c r="E21" s="19">
        <f>IFERROR(INDEX(Tbl_Tasks[Project],MATCH(C21,Tbl_Tasks[Task ID],0)),"")</f>
        <v/>
      </c>
      <c r="F21" s="19">
        <f>IFERROR(INDEX(Tbl_Tasks[Company],MATCH(C21,Tbl_Tasks[Task ID],0)),"")</f>
        <v/>
      </c>
      <c r="G21" s="19" t="inlineStr">
        <is>
          <t>Humayra Shajahan</t>
        </is>
      </c>
      <c r="H21" s="25" t="n">
        <v>46208</v>
      </c>
      <c r="I21" s="31" t="n">
        <v>0.375</v>
      </c>
      <c r="J21" s="31" t="n">
        <v>0.4791666666666667</v>
      </c>
      <c r="K21" s="19" t="n">
        <v>15</v>
      </c>
      <c r="L21" s="32">
        <f>ROUND(MAX(0,((J21-I21)*24)-(K21/60)),2)</f>
        <v/>
      </c>
      <c r="M21" s="19" t="inlineStr">
        <is>
          <t>No</t>
        </is>
      </c>
      <c r="N21" s="19" t="inlineStr">
        <is>
          <t>Meeting</t>
        </is>
      </c>
      <c r="O21" s="19" t="inlineStr">
        <is>
          <t>Tutor interviews batch 1</t>
        </is>
      </c>
    </row>
  </sheetData>
  <dataValidations count="4">
    <dataValidation sqref="C4:C20000" showDropDown="0" showInputMessage="0" showErrorMessage="0" allowBlank="1" errorTitle="Invalid entry" error="Please choose a value from the dropdown list." type="list">
      <formula1>=List_TaskIDs</formula1>
    </dataValidation>
    <dataValidation sqref="G4:G20000" showDropDown="0" showInputMessage="0" showErrorMessage="0" allowBlank="1" errorTitle="Invalid entry" error="Please choose a value from the dropdown list." type="list">
      <formula1>=List_EmployeeNames</formula1>
    </dataValidation>
    <dataValidation sqref="M4:M20000" showDropDown="0" showInputMessage="0" showErrorMessage="0" allowBlank="1" errorTitle="Invalid entry" error="Please choose a value from the dropdown list." type="list">
      <formula1>=List_Billable</formula1>
    </dataValidation>
    <dataValidation sqref="N4:N20000" showDropDown="0" showInputMessage="0" showErrorMessage="0" allowBlank="1" errorTitle="Invalid entry" error="Please choose a value from the dropdown list." type="list">
      <formula1>=List_TimeCategories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D97706"/>
    <outlinePr summaryBelow="1" summaryRight="1"/>
    <pageSetUpPr/>
  </sheetPr>
  <dimension ref="B1:U1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22" customWidth="1" min="4" max="4"/>
    <col width="18" customWidth="1" min="5" max="5"/>
    <col width="20" customWidth="1" min="6" max="6"/>
    <col width="12" customWidth="1" min="7" max="7"/>
    <col width="11" customWidth="1" min="8" max="8"/>
    <col width="10" customWidth="1" min="9" max="9"/>
    <col width="9" customWidth="1" min="10" max="10"/>
    <col width="11" customWidth="1" min="11" max="11"/>
    <col width="14" customWidth="1" min="12" max="12"/>
    <col width="18" customWidth="1" min="13" max="13"/>
    <col width="12" customWidth="1" min="14" max="14"/>
    <col width="11" customWidth="1" min="15" max="15"/>
    <col width="15" customWidth="1" min="16" max="16"/>
    <col width="13" customWidth="1" min="17" max="17"/>
    <col width="13" customWidth="1" min="18" max="18"/>
    <col width="26" customWidth="1" min="19" max="19"/>
    <col width="14" customWidth="1" min="20" max="20"/>
    <col width="26" customWidth="1" min="21" max="21"/>
  </cols>
  <sheetData>
    <row r="1" ht="24" customHeight="1">
      <c r="B1" s="22" t="inlineStr">
        <is>
          <t>🧾  Expenses</t>
        </is>
      </c>
    </row>
    <row r="2">
      <c r="B2" s="3" t="inlineStr">
        <is>
          <t>One row per expense. Paste a receipt link (Drive/OneDrive/Dropbox/PDF URL) and the Receipt column becomes a one-click hyperlink.</t>
        </is>
      </c>
    </row>
    <row r="3" ht="32" customHeight="1">
      <c r="B3" s="29" t="inlineStr">
        <is>
          <t>Expense ID</t>
        </is>
      </c>
      <c r="C3" s="29" t="inlineStr">
        <is>
          <t>Company</t>
        </is>
      </c>
      <c r="D3" s="29" t="inlineStr">
        <is>
          <t>Project</t>
        </is>
      </c>
      <c r="E3" s="29" t="inlineStr">
        <is>
          <t>Category</t>
        </is>
      </c>
      <c r="F3" s="29" t="inlineStr">
        <is>
          <t>Vendor</t>
        </is>
      </c>
      <c r="G3" s="29" t="inlineStr">
        <is>
          <t>Date</t>
        </is>
      </c>
      <c r="H3" s="29" t="inlineStr">
        <is>
          <t>Amount</t>
        </is>
      </c>
      <c r="I3" s="29" t="inlineStr">
        <is>
          <t>Currency</t>
        </is>
      </c>
      <c r="J3" s="29" t="inlineStr">
        <is>
          <t>Tax</t>
        </is>
      </c>
      <c r="K3" s="29" t="inlineStr">
        <is>
          <t>Total</t>
        </is>
      </c>
      <c r="L3" s="29" t="inlineStr">
        <is>
          <t>Payment Method</t>
        </is>
      </c>
      <c r="M3" s="29" t="inlineStr">
        <is>
          <t>Paid By</t>
        </is>
      </c>
      <c r="N3" s="29" t="inlineStr">
        <is>
          <t>Reimbursable</t>
        </is>
      </c>
      <c r="O3" s="29" t="inlineStr">
        <is>
          <t>Reimbursed</t>
        </is>
      </c>
      <c r="P3" s="29" t="inlineStr">
        <is>
          <t>Reimbursement Date</t>
        </is>
      </c>
      <c r="Q3" s="29" t="inlineStr">
        <is>
          <t>Approval Status</t>
        </is>
      </c>
      <c r="R3" s="29" t="inlineStr">
        <is>
          <t>Payment Status</t>
        </is>
      </c>
      <c r="S3" s="29" t="inlineStr">
        <is>
          <t>Receipt Link</t>
        </is>
      </c>
      <c r="T3" s="29" t="inlineStr">
        <is>
          <t>Receipt</t>
        </is>
      </c>
      <c r="U3" s="29" t="inlineStr">
        <is>
          <t>Notes</t>
        </is>
      </c>
    </row>
    <row r="4">
      <c r="B4" s="19">
        <f>"EXP-"&amp;TEXT(SUBTOTAL(103,$G$4:G4),"0000")</f>
        <v/>
      </c>
      <c r="C4" s="19" t="inlineStr">
        <is>
          <t>Nimbus Analytics</t>
        </is>
      </c>
      <c r="D4" s="19" t="inlineStr">
        <is>
          <t>Analytics Dashboard v2</t>
        </is>
      </c>
      <c r="E4" s="19" t="inlineStr">
        <is>
          <t>Software &amp; Tools</t>
        </is>
      </c>
      <c r="F4" s="19" t="inlineStr">
        <is>
          <t>AWS</t>
        </is>
      </c>
      <c r="G4" s="25" t="n">
        <v>46204</v>
      </c>
      <c r="H4" s="21" t="n">
        <v>640</v>
      </c>
      <c r="I4" s="19" t="inlineStr">
        <is>
          <t>USD</t>
        </is>
      </c>
      <c r="J4" s="21" t="n">
        <v>0</v>
      </c>
      <c r="K4" s="21">
        <f>ROUND(H4+J4,2)</f>
        <v/>
      </c>
      <c r="L4" s="19" t="inlineStr">
        <is>
          <t>Credit Card</t>
        </is>
      </c>
      <c r="M4" s="19" t="inlineStr">
        <is>
          <t>Nimbus Analytics</t>
        </is>
      </c>
      <c r="N4" s="19" t="inlineStr">
        <is>
          <t>No</t>
        </is>
      </c>
      <c r="O4" s="19" t="inlineStr">
        <is>
          <t>No</t>
        </is>
      </c>
      <c r="P4" s="25" t="n"/>
      <c r="Q4" s="19" t="inlineStr">
        <is>
          <t>Approved</t>
        </is>
      </c>
      <c r="R4" s="19" t="inlineStr">
        <is>
          <t>Paid</t>
        </is>
      </c>
      <c r="S4" s="19" t="inlineStr">
        <is>
          <t>https://drive.google.com/file/d/aws-jul-invoice</t>
        </is>
      </c>
      <c r="T4" s="19">
        <f>IF(S4="","",HYPERLINK(S4,"📎 Open Receipt"))</f>
        <v/>
      </c>
      <c r="U4" s="19" t="inlineStr">
        <is>
          <t>Monthly cloud hosting</t>
        </is>
      </c>
    </row>
    <row r="5">
      <c r="B5" s="19">
        <f>"EXP-"&amp;TEXT(SUBTOTAL(103,$G$4:G5),"0000")</f>
        <v/>
      </c>
      <c r="C5" s="19" t="inlineStr">
        <is>
          <t>Nimbus Analytics</t>
        </is>
      </c>
      <c r="D5" s="19" t="inlineStr"/>
      <c r="E5" s="19" t="inlineStr">
        <is>
          <t>Software &amp; Tools</t>
        </is>
      </c>
      <c r="F5" s="19" t="inlineStr">
        <is>
          <t>Figma</t>
        </is>
      </c>
      <c r="G5" s="25" t="n">
        <v>46206</v>
      </c>
      <c r="H5" s="21" t="n">
        <v>45</v>
      </c>
      <c r="I5" s="19" t="inlineStr">
        <is>
          <t>USD</t>
        </is>
      </c>
      <c r="J5" s="21" t="n">
        <v>0</v>
      </c>
      <c r="K5" s="21">
        <f>ROUND(H5+J5,2)</f>
        <v/>
      </c>
      <c r="L5" s="19" t="inlineStr">
        <is>
          <t>Credit Card</t>
        </is>
      </c>
      <c r="M5" s="19" t="inlineStr">
        <is>
          <t>Nimbus Analytics</t>
        </is>
      </c>
      <c r="N5" s="19" t="inlineStr">
        <is>
          <t>No</t>
        </is>
      </c>
      <c r="O5" s="19" t="inlineStr">
        <is>
          <t>No</t>
        </is>
      </c>
      <c r="P5" s="25" t="n"/>
      <c r="Q5" s="19" t="inlineStr">
        <is>
          <t>Approved</t>
        </is>
      </c>
      <c r="R5" s="19" t="inlineStr">
        <is>
          <t>Paid</t>
        </is>
      </c>
      <c r="S5" s="19" t="inlineStr">
        <is>
          <t>https://drive.google.com/file/d/figma-jul-invoice</t>
        </is>
      </c>
      <c r="T5" s="19">
        <f>IF(S5="","",HYPERLINK(S5,"📎 Open Receipt"))</f>
        <v/>
      </c>
      <c r="U5" s="19" t="inlineStr">
        <is>
          <t>Design seats</t>
        </is>
      </c>
    </row>
    <row r="6">
      <c r="B6" s="19">
        <f>"EXP-"&amp;TEXT(SUBTOTAL(103,$G$4:G6),"0000")</f>
        <v/>
      </c>
      <c r="C6" s="19" t="inlineStr">
        <is>
          <t>Nimbus Analytics</t>
        </is>
      </c>
      <c r="D6" s="19" t="inlineStr">
        <is>
          <t>Self-Serve Onboarding</t>
        </is>
      </c>
      <c r="E6" s="19" t="inlineStr">
        <is>
          <t>Contractors</t>
        </is>
      </c>
      <c r="F6" s="19" t="inlineStr">
        <is>
          <t>Upwork Contractor - J. Lee</t>
        </is>
      </c>
      <c r="G6" s="25" t="n">
        <v>46215</v>
      </c>
      <c r="H6" s="21" t="n">
        <v>1200</v>
      </c>
      <c r="I6" s="19" t="inlineStr">
        <is>
          <t>USD</t>
        </is>
      </c>
      <c r="J6" s="21" t="n">
        <v>0</v>
      </c>
      <c r="K6" s="21">
        <f>ROUND(H6+J6,2)</f>
        <v/>
      </c>
      <c r="L6" s="19" t="inlineStr">
        <is>
          <t>Bank Transfer</t>
        </is>
      </c>
      <c r="M6" s="19" t="inlineStr">
        <is>
          <t>Nimbus Analytics</t>
        </is>
      </c>
      <c r="N6" s="19" t="inlineStr">
        <is>
          <t>No</t>
        </is>
      </c>
      <c r="O6" s="19" t="inlineStr">
        <is>
          <t>No</t>
        </is>
      </c>
      <c r="P6" s="25" t="n"/>
      <c r="Q6" s="19" t="inlineStr">
        <is>
          <t>Approved</t>
        </is>
      </c>
      <c r="R6" s="19" t="inlineStr">
        <is>
          <t>Paid</t>
        </is>
      </c>
      <c r="S6" s="19" t="inlineStr"/>
      <c r="T6" s="19">
        <f>IF(S6="","",HYPERLINK(S6,"📎 Open Receipt"))</f>
        <v/>
      </c>
      <c r="U6" s="19" t="inlineStr">
        <is>
          <t>Onboarding flow contractor sprint</t>
        </is>
      </c>
    </row>
    <row r="7">
      <c r="B7" s="19">
        <f>"EXP-"&amp;TEXT(SUBTOTAL(103,$G$4:G7),"0000")</f>
        <v/>
      </c>
      <c r="C7" s="19" t="inlineStr">
        <is>
          <t>Nimbus Analytics</t>
        </is>
      </c>
      <c r="D7" s="19" t="inlineStr"/>
      <c r="E7" s="19" t="inlineStr">
        <is>
          <t>Rent &amp; Utilities</t>
        </is>
      </c>
      <c r="F7" s="19" t="inlineStr">
        <is>
          <t>WeWork</t>
        </is>
      </c>
      <c r="G7" s="25" t="n">
        <v>46204</v>
      </c>
      <c r="H7" s="21" t="n">
        <v>450</v>
      </c>
      <c r="I7" s="19" t="inlineStr">
        <is>
          <t>USD</t>
        </is>
      </c>
      <c r="J7" s="21" t="n">
        <v>0</v>
      </c>
      <c r="K7" s="21">
        <f>ROUND(H7+J7,2)</f>
        <v/>
      </c>
      <c r="L7" s="19" t="inlineStr">
        <is>
          <t>Bank Transfer</t>
        </is>
      </c>
      <c r="M7" s="19" t="inlineStr">
        <is>
          <t>Nimbus Analytics</t>
        </is>
      </c>
      <c r="N7" s="19" t="inlineStr">
        <is>
          <t>No</t>
        </is>
      </c>
      <c r="O7" s="19" t="inlineStr">
        <is>
          <t>No</t>
        </is>
      </c>
      <c r="P7" s="25" t="n"/>
      <c r="Q7" s="19" t="inlineStr">
        <is>
          <t>Approved</t>
        </is>
      </c>
      <c r="R7" s="19" t="inlineStr">
        <is>
          <t>Paid</t>
        </is>
      </c>
      <c r="S7" s="19" t="inlineStr"/>
      <c r="T7" s="19">
        <f>IF(S7="","",HYPERLINK(S7,"📎 Open Receipt"))</f>
        <v/>
      </c>
      <c r="U7" s="19" t="inlineStr">
        <is>
          <t>Monthly desk membership</t>
        </is>
      </c>
    </row>
    <row r="8">
      <c r="B8" s="19">
        <f>"EXP-"&amp;TEXT(SUBTOTAL(103,$G$4:G8),"0000")</f>
        <v/>
      </c>
      <c r="C8" s="19" t="inlineStr">
        <is>
          <t>Nimbus Analytics</t>
        </is>
      </c>
      <c r="D8" s="19" t="inlineStr">
        <is>
          <t>SOC 2 Prep</t>
        </is>
      </c>
      <c r="E8" s="19" t="inlineStr">
        <is>
          <t>Legal &amp; Professional</t>
        </is>
      </c>
      <c r="F8" s="19" t="inlineStr">
        <is>
          <t>-</t>
        </is>
      </c>
      <c r="G8" s="25" t="n">
        <v>46193</v>
      </c>
      <c r="H8" s="21" t="n">
        <v>850</v>
      </c>
      <c r="I8" s="19" t="inlineStr">
        <is>
          <t>USD</t>
        </is>
      </c>
      <c r="J8" s="21" t="n">
        <v>0</v>
      </c>
      <c r="K8" s="21">
        <f>ROUND(H8+J8,2)</f>
        <v/>
      </c>
      <c r="L8" s="19" t="inlineStr">
        <is>
          <t>Bank Transfer</t>
        </is>
      </c>
      <c r="M8" s="19" t="inlineStr">
        <is>
          <t>Humayra Shajahan</t>
        </is>
      </c>
      <c r="N8" s="19" t="inlineStr">
        <is>
          <t>Yes</t>
        </is>
      </c>
      <c r="O8" s="19" t="inlineStr">
        <is>
          <t>No</t>
        </is>
      </c>
      <c r="P8" s="25" t="n"/>
      <c r="Q8" s="19" t="inlineStr">
        <is>
          <t>Approved</t>
        </is>
      </c>
      <c r="R8" s="19" t="inlineStr">
        <is>
          <t>Unpaid</t>
        </is>
      </c>
      <c r="S8" s="19" t="inlineStr"/>
      <c r="T8" s="19">
        <f>IF(S8="","",HYPERLINK(S8,"📎 Open Receipt"))</f>
        <v/>
      </c>
      <c r="U8" s="19" t="inlineStr">
        <is>
          <t>SOC 2 readiness consultation</t>
        </is>
      </c>
    </row>
    <row r="9">
      <c r="B9" s="19">
        <f>"EXP-"&amp;TEXT(SUBTOTAL(103,$G$4:G9),"0000")</f>
        <v/>
      </c>
      <c r="C9" s="19" t="inlineStr">
        <is>
          <t>Nimbus Analytics</t>
        </is>
      </c>
      <c r="D9" s="19" t="inlineStr"/>
      <c r="E9" s="19" t="inlineStr">
        <is>
          <t>Travel</t>
        </is>
      </c>
      <c r="F9" s="19" t="inlineStr">
        <is>
          <t>-</t>
        </is>
      </c>
      <c r="G9" s="25" t="n">
        <v>46178</v>
      </c>
      <c r="H9" s="21" t="n">
        <v>312.4</v>
      </c>
      <c r="I9" s="19" t="inlineStr">
        <is>
          <t>USD</t>
        </is>
      </c>
      <c r="J9" s="21" t="n">
        <v>0</v>
      </c>
      <c r="K9" s="21">
        <f>ROUND(H9+J9,2)</f>
        <v/>
      </c>
      <c r="L9" s="19" t="inlineStr">
        <is>
          <t>Credit Card</t>
        </is>
      </c>
      <c r="M9" s="19" t="inlineStr">
        <is>
          <t>Humayra Shajahan</t>
        </is>
      </c>
      <c r="N9" s="19" t="inlineStr">
        <is>
          <t>Yes</t>
        </is>
      </c>
      <c r="O9" s="19" t="inlineStr">
        <is>
          <t>Yes</t>
        </is>
      </c>
      <c r="P9" s="25" t="n">
        <v>46193</v>
      </c>
      <c r="Q9" s="19" t="inlineStr">
        <is>
          <t>Approved</t>
        </is>
      </c>
      <c r="R9" s="19" t="inlineStr">
        <is>
          <t>Paid</t>
        </is>
      </c>
      <c r="S9" s="19" t="inlineStr">
        <is>
          <t>https://drive.google.com/file/d/travel-receipt-1</t>
        </is>
      </c>
      <c r="T9" s="19">
        <f>IF(S9="","",HYPERLINK(S9,"📎 Open Receipt"))</f>
        <v/>
      </c>
      <c r="U9" s="19" t="inlineStr">
        <is>
          <t>Investor meeting flight</t>
        </is>
      </c>
    </row>
    <row r="10">
      <c r="B10" s="19">
        <f>"EXP-"&amp;TEXT(SUBTOTAL(103,$G$4:G10),"0000")</f>
        <v/>
      </c>
      <c r="C10" s="19" t="inlineStr">
        <is>
          <t>Kiln &amp; Co</t>
        </is>
      </c>
      <c r="D10" s="19" t="inlineStr">
        <is>
          <t>Winter Collection Launch</t>
        </is>
      </c>
      <c r="E10" s="19" t="inlineStr">
        <is>
          <t>Materials &amp; Inventory</t>
        </is>
      </c>
      <c r="F10" s="19" t="inlineStr">
        <is>
          <t>Ceramics Supply Co</t>
        </is>
      </c>
      <c r="G10" s="25" t="n">
        <v>46205</v>
      </c>
      <c r="H10" s="21" t="n">
        <v>2140</v>
      </c>
      <c r="I10" s="19" t="inlineStr">
        <is>
          <t>GBP</t>
        </is>
      </c>
      <c r="J10" s="21" t="n">
        <v>0</v>
      </c>
      <c r="K10" s="21">
        <f>ROUND(H10+J10,2)</f>
        <v/>
      </c>
      <c r="L10" s="19" t="inlineStr">
        <is>
          <t>Wire Transfer</t>
        </is>
      </c>
      <c r="M10" s="19" t="inlineStr">
        <is>
          <t>Kiln &amp; Co</t>
        </is>
      </c>
      <c r="N10" s="19" t="inlineStr">
        <is>
          <t>No</t>
        </is>
      </c>
      <c r="O10" s="19" t="inlineStr">
        <is>
          <t>No</t>
        </is>
      </c>
      <c r="P10" s="25" t="n"/>
      <c r="Q10" s="19" t="inlineStr">
        <is>
          <t>Approved</t>
        </is>
      </c>
      <c r="R10" s="19" t="inlineStr">
        <is>
          <t>Paid</t>
        </is>
      </c>
      <c r="S10" s="19" t="inlineStr">
        <is>
          <t>https://drive.google.com/file/d/ceramics-jul</t>
        </is>
      </c>
      <c r="T10" s="19">
        <f>IF(S10="","",HYPERLINK(S10,"📎 Open Receipt"))</f>
        <v/>
      </c>
      <c r="U10" s="19" t="inlineStr">
        <is>
          <t>Glaze restock for winter line</t>
        </is>
      </c>
    </row>
    <row r="11">
      <c r="B11" s="19">
        <f>"EXP-"&amp;TEXT(SUBTOTAL(103,$G$4:G11),"0000")</f>
        <v/>
      </c>
      <c r="C11" s="19" t="inlineStr">
        <is>
          <t>Kiln &amp; Co</t>
        </is>
      </c>
      <c r="D11" s="19" t="inlineStr">
        <is>
          <t>Winter Collection Launch</t>
        </is>
      </c>
      <c r="E11" s="19" t="inlineStr">
        <is>
          <t>Marketing</t>
        </is>
      </c>
      <c r="F11" s="19" t="inlineStr">
        <is>
          <t>Meta Ads</t>
        </is>
      </c>
      <c r="G11" s="25" t="n">
        <v>46211</v>
      </c>
      <c r="H11" s="21" t="n">
        <v>600</v>
      </c>
      <c r="I11" s="19" t="inlineStr">
        <is>
          <t>GBP</t>
        </is>
      </c>
      <c r="J11" s="21" t="n">
        <v>0</v>
      </c>
      <c r="K11" s="21">
        <f>ROUND(H11+J11,2)</f>
        <v/>
      </c>
      <c r="L11" s="19" t="inlineStr">
        <is>
          <t>Credit Card</t>
        </is>
      </c>
      <c r="M11" s="19" t="inlineStr">
        <is>
          <t>Kiln &amp; Co</t>
        </is>
      </c>
      <c r="N11" s="19" t="inlineStr">
        <is>
          <t>No</t>
        </is>
      </c>
      <c r="O11" s="19" t="inlineStr">
        <is>
          <t>No</t>
        </is>
      </c>
      <c r="P11" s="25" t="n"/>
      <c r="Q11" s="19" t="inlineStr">
        <is>
          <t>Approved</t>
        </is>
      </c>
      <c r="R11" s="19" t="inlineStr">
        <is>
          <t>Paid</t>
        </is>
      </c>
      <c r="S11" s="19" t="inlineStr"/>
      <c r="T11" s="19">
        <f>IF(S11="","",HYPERLINK(S11,"📎 Open Receipt"))</f>
        <v/>
      </c>
      <c r="U11" s="19" t="inlineStr">
        <is>
          <t>Lookbook boost campaign</t>
        </is>
      </c>
    </row>
    <row r="12">
      <c r="B12" s="19">
        <f>"EXP-"&amp;TEXT(SUBTOTAL(103,$G$4:G12),"0000")</f>
        <v/>
      </c>
      <c r="C12" s="19" t="inlineStr">
        <is>
          <t>Kiln &amp; Co</t>
        </is>
      </c>
      <c r="D12" s="19" t="inlineStr"/>
      <c r="E12" s="19" t="inlineStr">
        <is>
          <t>Shipping &amp; Fulfillment</t>
        </is>
      </c>
      <c r="F12" s="19" t="inlineStr">
        <is>
          <t>-</t>
        </is>
      </c>
      <c r="G12" s="25" t="n">
        <v>46213</v>
      </c>
      <c r="H12" s="21" t="n">
        <v>380.75</v>
      </c>
      <c r="I12" s="19" t="inlineStr">
        <is>
          <t>GBP</t>
        </is>
      </c>
      <c r="J12" s="21" t="n">
        <v>0</v>
      </c>
      <c r="K12" s="21">
        <f>ROUND(H12+J12,2)</f>
        <v/>
      </c>
      <c r="L12" s="19" t="inlineStr">
        <is>
          <t>Debit Card</t>
        </is>
      </c>
      <c r="M12" s="19" t="inlineStr">
        <is>
          <t>Nadia Farooq</t>
        </is>
      </c>
      <c r="N12" s="19" t="inlineStr">
        <is>
          <t>Yes</t>
        </is>
      </c>
      <c r="O12" s="19" t="inlineStr">
        <is>
          <t>No</t>
        </is>
      </c>
      <c r="P12" s="25" t="n"/>
      <c r="Q12" s="19" t="inlineStr">
        <is>
          <t>Pending</t>
        </is>
      </c>
      <c r="R12" s="19" t="inlineStr">
        <is>
          <t>Unpaid</t>
        </is>
      </c>
      <c r="S12" s="19" t="inlineStr">
        <is>
          <t>https://drive.google.com/file/d/shipping-receipt-1</t>
        </is>
      </c>
      <c r="T12" s="19">
        <f>IF(S12="","",HYPERLINK(S12,"📎 Open Receipt"))</f>
        <v/>
      </c>
      <c r="U12" s="19" t="inlineStr">
        <is>
          <t>Courier costs for wholesale batch</t>
        </is>
      </c>
    </row>
    <row r="13">
      <c r="B13" s="19">
        <f>"EXP-"&amp;TEXT(SUBTOTAL(103,$G$4:G13),"0000")</f>
        <v/>
      </c>
      <c r="C13" s="19" t="inlineStr">
        <is>
          <t>Kiln &amp; Co</t>
        </is>
      </c>
      <c r="D13" s="19" t="inlineStr">
        <is>
          <t>Warehouse Automation</t>
        </is>
      </c>
      <c r="E13" s="19" t="inlineStr">
        <is>
          <t>Equipment</t>
        </is>
      </c>
      <c r="F13" s="19" t="inlineStr">
        <is>
          <t>-</t>
        </is>
      </c>
      <c r="G13" s="25" t="n">
        <v>46201</v>
      </c>
      <c r="H13" s="21" t="n">
        <v>1450</v>
      </c>
      <c r="I13" s="19" t="inlineStr">
        <is>
          <t>GBP</t>
        </is>
      </c>
      <c r="J13" s="21" t="n">
        <v>0</v>
      </c>
      <c r="K13" s="21">
        <f>ROUND(H13+J13,2)</f>
        <v/>
      </c>
      <c r="L13" s="19" t="inlineStr">
        <is>
          <t>Bank Transfer</t>
        </is>
      </c>
      <c r="M13" s="19" t="inlineStr">
        <is>
          <t>Kiln &amp; Co</t>
        </is>
      </c>
      <c r="N13" s="19" t="inlineStr">
        <is>
          <t>No</t>
        </is>
      </c>
      <c r="O13" s="19" t="inlineStr">
        <is>
          <t>No</t>
        </is>
      </c>
      <c r="P13" s="25" t="n"/>
      <c r="Q13" s="19" t="inlineStr">
        <is>
          <t>Approved</t>
        </is>
      </c>
      <c r="R13" s="19" t="inlineStr">
        <is>
          <t>Paid</t>
        </is>
      </c>
      <c r="S13" s="19" t="inlineStr"/>
      <c r="T13" s="19">
        <f>IF(S13="","",HYPERLINK(S13,"📎 Open Receipt"))</f>
        <v/>
      </c>
      <c r="U13" s="19" t="inlineStr">
        <is>
          <t>Conveyor sensor for pick/pack pilot</t>
        </is>
      </c>
    </row>
    <row r="14">
      <c r="B14" s="19">
        <f>"EXP-"&amp;TEXT(SUBTOTAL(103,$G$4:G14),"0000")</f>
        <v/>
      </c>
      <c r="C14" s="19" t="inlineStr">
        <is>
          <t>Kiln &amp; Co</t>
        </is>
      </c>
      <c r="D14" s="19" t="inlineStr"/>
      <c r="E14" s="19" t="inlineStr">
        <is>
          <t>Office &amp; Supplies</t>
        </is>
      </c>
      <c r="F14" s="19" t="inlineStr">
        <is>
          <t>-</t>
        </is>
      </c>
      <c r="G14" s="25" t="n">
        <v>46217</v>
      </c>
      <c r="H14" s="21" t="n">
        <v>96.2</v>
      </c>
      <c r="I14" s="19" t="inlineStr">
        <is>
          <t>GBP</t>
        </is>
      </c>
      <c r="J14" s="21" t="n">
        <v>0</v>
      </c>
      <c r="K14" s="21">
        <f>ROUND(H14+J14,2)</f>
        <v/>
      </c>
      <c r="L14" s="19" t="inlineStr">
        <is>
          <t>Debit Card</t>
        </is>
      </c>
      <c r="M14" s="19" t="inlineStr">
        <is>
          <t>Nadia Farooq</t>
        </is>
      </c>
      <c r="N14" s="19" t="inlineStr">
        <is>
          <t>Yes</t>
        </is>
      </c>
      <c r="O14" s="19" t="inlineStr">
        <is>
          <t>Yes</t>
        </is>
      </c>
      <c r="P14" s="25" t="n">
        <v>46225</v>
      </c>
      <c r="Q14" s="19" t="inlineStr">
        <is>
          <t>Approved</t>
        </is>
      </c>
      <c r="R14" s="19" t="inlineStr">
        <is>
          <t>Paid</t>
        </is>
      </c>
      <c r="S14" s="19" t="inlineStr"/>
      <c r="T14" s="19">
        <f>IF(S14="","",HYPERLINK(S14,"📎 Open Receipt"))</f>
        <v/>
      </c>
      <c r="U14" s="19" t="inlineStr">
        <is>
          <t>Packaging samples</t>
        </is>
      </c>
    </row>
    <row r="15">
      <c r="B15" s="19">
        <f>"EXP-"&amp;TEXT(SUBTOTAL(103,$G$4:G15),"0000")</f>
        <v/>
      </c>
      <c r="C15" s="19" t="inlineStr">
        <is>
          <t>Pathlight Tutors</t>
        </is>
      </c>
      <c r="D15" s="19" t="inlineStr">
        <is>
          <t>MVP Marketplace Build</t>
        </is>
      </c>
      <c r="E15" s="19" t="inlineStr">
        <is>
          <t>Contractors</t>
        </is>
      </c>
      <c r="F15" s="19" t="inlineStr">
        <is>
          <t>Upwork Contractor - J. Lee</t>
        </is>
      </c>
      <c r="G15" s="25" t="n">
        <v>46208</v>
      </c>
      <c r="H15" s="21" t="n">
        <v>900</v>
      </c>
      <c r="I15" s="19" t="inlineStr">
        <is>
          <t>USD</t>
        </is>
      </c>
      <c r="J15" s="21" t="n">
        <v>0</v>
      </c>
      <c r="K15" s="21">
        <f>ROUND(H15+J15,2)</f>
        <v/>
      </c>
      <c r="L15" s="19" t="inlineStr">
        <is>
          <t>Bank Transfer</t>
        </is>
      </c>
      <c r="M15" s="19" t="inlineStr">
        <is>
          <t>Pathlight Tutors</t>
        </is>
      </c>
      <c r="N15" s="19" t="inlineStr">
        <is>
          <t>No</t>
        </is>
      </c>
      <c r="O15" s="19" t="inlineStr">
        <is>
          <t>No</t>
        </is>
      </c>
      <c r="P15" s="25" t="n"/>
      <c r="Q15" s="19" t="inlineStr">
        <is>
          <t>Approved</t>
        </is>
      </c>
      <c r="R15" s="19" t="inlineStr">
        <is>
          <t>Paid</t>
        </is>
      </c>
      <c r="S15" s="19" t="inlineStr"/>
      <c r="T15" s="19">
        <f>IF(S15="","",HYPERLINK(S15,"📎 Open Receipt"))</f>
        <v/>
      </c>
      <c r="U15" s="19" t="inlineStr">
        <is>
          <t>Background-check API integration</t>
        </is>
      </c>
    </row>
    <row r="16">
      <c r="B16" s="19">
        <f>"EXP-"&amp;TEXT(SUBTOTAL(103,$G$4:G16),"0000")</f>
        <v/>
      </c>
      <c r="C16" s="19" t="inlineStr">
        <is>
          <t>Pathlight Tutors</t>
        </is>
      </c>
      <c r="D16" s="19" t="inlineStr"/>
      <c r="E16" s="19" t="inlineStr">
        <is>
          <t>Legal &amp; Professional</t>
        </is>
      </c>
      <c r="F16" s="19" t="inlineStr">
        <is>
          <t>-</t>
        </is>
      </c>
      <c r="G16" s="25" t="n">
        <v>46183</v>
      </c>
      <c r="H16" s="21" t="n">
        <v>500</v>
      </c>
      <c r="I16" s="19" t="inlineStr">
        <is>
          <t>USD</t>
        </is>
      </c>
      <c r="J16" s="21" t="n">
        <v>0</v>
      </c>
      <c r="K16" s="21">
        <f>ROUND(H16+J16,2)</f>
        <v/>
      </c>
      <c r="L16" s="19" t="inlineStr">
        <is>
          <t>Bank Transfer</t>
        </is>
      </c>
      <c r="M16" s="19" t="inlineStr">
        <is>
          <t>Humayra Shajahan</t>
        </is>
      </c>
      <c r="N16" s="19" t="inlineStr">
        <is>
          <t>Yes</t>
        </is>
      </c>
      <c r="O16" s="19" t="inlineStr">
        <is>
          <t>No</t>
        </is>
      </c>
      <c r="P16" s="25" t="n"/>
      <c r="Q16" s="19" t="inlineStr">
        <is>
          <t>Pending</t>
        </is>
      </c>
      <c r="R16" s="19" t="inlineStr">
        <is>
          <t>Unpaid</t>
        </is>
      </c>
      <c r="S16" s="19" t="inlineStr"/>
      <c r="T16" s="19">
        <f>IF(S16="","",HYPERLINK(S16,"📎 Open Receipt"))</f>
        <v/>
      </c>
      <c r="U16" s="19" t="inlineStr">
        <is>
          <t>Marketplace terms of service draft</t>
        </is>
      </c>
    </row>
    <row r="17">
      <c r="B17" s="19">
        <f>"EXP-"&amp;TEXT(SUBTOTAL(103,$G$4:G17),"0000")</f>
        <v/>
      </c>
      <c r="C17" s="19" t="inlineStr">
        <is>
          <t>Pathlight Tutors</t>
        </is>
      </c>
      <c r="D17" s="19" t="inlineStr"/>
      <c r="E17" s="19" t="inlineStr">
        <is>
          <t>Software &amp; Tools</t>
        </is>
      </c>
      <c r="F17" s="19" t="inlineStr">
        <is>
          <t>-</t>
        </is>
      </c>
      <c r="G17" s="25" t="n">
        <v>46204</v>
      </c>
      <c r="H17" s="21" t="n">
        <v>29</v>
      </c>
      <c r="I17" s="19" t="inlineStr">
        <is>
          <t>USD</t>
        </is>
      </c>
      <c r="J17" s="21" t="n">
        <v>0</v>
      </c>
      <c r="K17" s="21">
        <f>ROUND(H17+J17,2)</f>
        <v/>
      </c>
      <c r="L17" s="19" t="inlineStr">
        <is>
          <t>Credit Card</t>
        </is>
      </c>
      <c r="M17" s="19" t="inlineStr">
        <is>
          <t>Pathlight Tutors</t>
        </is>
      </c>
      <c r="N17" s="19" t="inlineStr">
        <is>
          <t>No</t>
        </is>
      </c>
      <c r="O17" s="19" t="inlineStr">
        <is>
          <t>No</t>
        </is>
      </c>
      <c r="P17" s="25" t="n"/>
      <c r="Q17" s="19" t="inlineStr">
        <is>
          <t>Approved</t>
        </is>
      </c>
      <c r="R17" s="19" t="inlineStr">
        <is>
          <t>Paid</t>
        </is>
      </c>
      <c r="S17" s="19" t="inlineStr"/>
      <c r="T17" s="19">
        <f>IF(S17="","",HYPERLINK(S17,"📎 Open Receipt"))</f>
        <v/>
      </c>
      <c r="U17" s="19" t="inlineStr">
        <is>
          <t>Survey tooling for parent interviews</t>
        </is>
      </c>
    </row>
  </sheetData>
  <conditionalFormatting sqref="Q4:Q20000">
    <cfRule type="expression" priority="1" dxfId="1">
      <formula>EXACT(Q4,"Pending")</formula>
    </cfRule>
    <cfRule type="expression" priority="2" dxfId="0">
      <formula>EXACT(Q4,"Approved")</formula>
    </cfRule>
    <cfRule type="expression" priority="3" dxfId="4">
      <formula>EXACT(Q4,"Rejected")</formula>
    </cfRule>
  </conditionalFormatting>
  <conditionalFormatting sqref="R4:R20000">
    <cfRule type="expression" priority="4" dxfId="4">
      <formula>EXACT(R4,"Unpaid")</formula>
    </cfRule>
    <cfRule type="expression" priority="5" dxfId="0">
      <formula>EXACT(R4,"Paid")</formula>
    </cfRule>
    <cfRule type="expression" priority="6" dxfId="1">
      <formula>EXACT(R4,"Partially Paid")</formula>
    </cfRule>
    <cfRule type="expression" priority="7" dxfId="4">
      <formula>EXACT(R4,"Overdue")</formula>
    </cfRule>
  </conditionalFormatting>
  <conditionalFormatting sqref="O4:O20000">
    <cfRule type="expression" priority="8" dxfId="7">
      <formula>AND($N4="Yes",$O4="No")</formula>
    </cfRule>
  </conditionalFormatting>
  <dataValidations count="10">
    <dataValidation sqref="C4:C20000" showDropDown="0" showInputMessage="0" showErrorMessage="0" allowBlank="1" errorTitle="Invalid entry" error="Please choose a value from the dropdown list." type="list">
      <formula1>=List_CompanyNames</formula1>
    </dataValidation>
    <dataValidation sqref="D4:D20000" showDropDown="0" showInputMessage="0" showErrorMessage="0" allowBlank="1" errorTitle="Invalid entry" error="Please choose a value from the dropdown list." type="list">
      <formula1>=List_ProjectNames</formula1>
    </dataValidation>
    <dataValidation sqref="E4:E20000" showDropDown="0" showInputMessage="0" showErrorMessage="0" allowBlank="1" errorTitle="Invalid entry" error="Please choose a value from the dropdown list." type="list">
      <formula1>=List_ExpenseCategories</formula1>
    </dataValidation>
    <dataValidation sqref="F4:F20000" showDropDown="0" showInputMessage="0" showErrorMessage="0" allowBlank="1" errorTitle="Invalid entry" error="Please choose a value from the dropdown list." type="list">
      <formula1>=List_VendorNames</formula1>
    </dataValidation>
    <dataValidation sqref="I4:I20000" showDropDown="0" showInputMessage="0" showErrorMessage="0" allowBlank="1" errorTitle="Invalid entry" error="Please choose a value from the dropdown list." type="list">
      <formula1>=List_Currencies</formula1>
    </dataValidation>
    <dataValidation sqref="L4:L20000" showDropDown="0" showInputMessage="0" showErrorMessage="0" allowBlank="1" errorTitle="Invalid entry" error="Please choose a value from the dropdown list." type="list">
      <formula1>=List_PaymentMethods</formula1>
    </dataValidation>
    <dataValidation sqref="N4:N20000" showDropDown="0" showInputMessage="0" showErrorMessage="0" allowBlank="1" errorTitle="Invalid entry" error="Please choose a value from the dropdown list." type="list">
      <formula1>=List_Billable</formula1>
    </dataValidation>
    <dataValidation sqref="O4:O20000" showDropDown="0" showInputMessage="0" showErrorMessage="0" allowBlank="1" errorTitle="Invalid entry" error="Please choose a value from the dropdown list." type="list">
      <formula1>=List_Billable</formula1>
    </dataValidation>
    <dataValidation sqref="Q4:Q20000" showDropDown="0" showInputMessage="0" showErrorMessage="0" allowBlank="1" errorTitle="Invalid entry" error="Please choose a value from the dropdown list." type="list">
      <formula1>=List_ApprovalStatus</formula1>
    </dataValidation>
    <dataValidation sqref="R4:R20000" showDropDown="0" showInputMessage="0" showErrorMessage="0" allowBlank="1" errorTitle="Invalid entry" error="Please choose a value from the dropdown list." type="list">
      <formula1>=List_PaymentStatus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0D9488"/>
    <outlinePr summaryBelow="1" summaryRight="1"/>
    <pageSetUpPr/>
  </sheetPr>
  <dimension ref="B1:L1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22" customWidth="1" min="4" max="4"/>
    <col width="22" customWidth="1" min="5" max="5"/>
    <col width="18" customWidth="1" min="6" max="6"/>
    <col width="12" customWidth="1" min="7" max="7"/>
    <col width="12" customWidth="1" min="8" max="8"/>
    <col width="10" customWidth="1" min="9" max="9"/>
    <col width="13" customWidth="1" min="10" max="10"/>
    <col width="12" customWidth="1" min="11" max="11"/>
    <col width="28" customWidth="1" min="12" max="12"/>
  </cols>
  <sheetData>
    <row r="1" ht="24" customHeight="1">
      <c r="B1" s="22" t="inlineStr">
        <is>
          <t>💰  Revenue</t>
        </is>
      </c>
    </row>
    <row r="2">
      <c r="B2" s="3" t="inlineStr">
        <is>
          <t>One row per recognized revenue transaction. Link to an Invoice ID when one exists so invoices show what's actually been collected.</t>
        </is>
      </c>
    </row>
    <row r="3" ht="32" customHeight="1">
      <c r="B3" s="24" t="inlineStr">
        <is>
          <t>Revenue ID</t>
        </is>
      </c>
      <c r="C3" s="24" t="inlineStr">
        <is>
          <t>Company</t>
        </is>
      </c>
      <c r="D3" s="24" t="inlineStr">
        <is>
          <t>Project</t>
        </is>
      </c>
      <c r="E3" s="24" t="inlineStr">
        <is>
          <t>Client / Source</t>
        </is>
      </c>
      <c r="F3" s="24" t="inlineStr">
        <is>
          <t>Category</t>
        </is>
      </c>
      <c r="G3" s="24" t="inlineStr">
        <is>
          <t>Date</t>
        </is>
      </c>
      <c r="H3" s="24" t="inlineStr">
        <is>
          <t>Amount</t>
        </is>
      </c>
      <c r="I3" s="24" t="inlineStr">
        <is>
          <t>Currency</t>
        </is>
      </c>
      <c r="J3" s="24" t="inlineStr">
        <is>
          <t>Payment Status</t>
        </is>
      </c>
      <c r="K3" s="24" t="inlineStr">
        <is>
          <t>Invoice ID</t>
        </is>
      </c>
      <c r="L3" s="24" t="inlineStr">
        <is>
          <t>Notes</t>
        </is>
      </c>
    </row>
    <row r="4">
      <c r="B4" s="19">
        <f>"REV-"&amp;TEXT(SUBTOTAL(103,$G$4:G4),"0000")</f>
        <v/>
      </c>
      <c r="C4" s="19" t="inlineStr">
        <is>
          <t>Nimbus Analytics</t>
        </is>
      </c>
      <c r="D4" s="19" t="inlineStr"/>
      <c r="E4" s="19" t="inlineStr">
        <is>
          <t>Beacon Retail Group</t>
        </is>
      </c>
      <c r="F4" s="19" t="inlineStr">
        <is>
          <t>Subscription Revenue</t>
        </is>
      </c>
      <c r="G4" s="25" t="n">
        <v>46143</v>
      </c>
      <c r="H4" s="21" t="n">
        <v>4200</v>
      </c>
      <c r="I4" s="19" t="inlineStr">
        <is>
          <t>USD</t>
        </is>
      </c>
      <c r="J4" s="19" t="inlineStr">
        <is>
          <t>Paid</t>
        </is>
      </c>
      <c r="K4" s="19" t="inlineStr">
        <is>
          <t>INV-0001</t>
        </is>
      </c>
      <c r="L4" s="19" t="inlineStr">
        <is>
          <t>May subscription</t>
        </is>
      </c>
    </row>
    <row r="5">
      <c r="B5" s="19">
        <f>"REV-"&amp;TEXT(SUBTOTAL(103,$G$4:G5),"0000")</f>
        <v/>
      </c>
      <c r="C5" s="19" t="inlineStr">
        <is>
          <t>Nimbus Analytics</t>
        </is>
      </c>
      <c r="D5" s="19" t="inlineStr"/>
      <c r="E5" s="19" t="inlineStr">
        <is>
          <t>Beacon Retail Group</t>
        </is>
      </c>
      <c r="F5" s="19" t="inlineStr">
        <is>
          <t>Subscription Revenue</t>
        </is>
      </c>
      <c r="G5" s="25" t="n">
        <v>46174</v>
      </c>
      <c r="H5" s="21" t="n">
        <v>4200</v>
      </c>
      <c r="I5" s="19" t="inlineStr">
        <is>
          <t>USD</t>
        </is>
      </c>
      <c r="J5" s="19" t="inlineStr">
        <is>
          <t>Paid</t>
        </is>
      </c>
      <c r="K5" s="19" t="inlineStr">
        <is>
          <t>INV-0002</t>
        </is>
      </c>
      <c r="L5" s="19" t="inlineStr">
        <is>
          <t>June subscription</t>
        </is>
      </c>
    </row>
    <row r="6">
      <c r="B6" s="19">
        <f>"REV-"&amp;TEXT(SUBTOTAL(103,$G$4:G6),"0000")</f>
        <v/>
      </c>
      <c r="C6" s="19" t="inlineStr">
        <is>
          <t>Nimbus Analytics</t>
        </is>
      </c>
      <c r="D6" s="19" t="inlineStr"/>
      <c r="E6" s="19" t="inlineStr">
        <is>
          <t>Beacon Retail Group</t>
        </is>
      </c>
      <c r="F6" s="19" t="inlineStr">
        <is>
          <t>Subscription Revenue</t>
        </is>
      </c>
      <c r="G6" s="25" t="n">
        <v>46204</v>
      </c>
      <c r="H6" s="21" t="n">
        <v>4600</v>
      </c>
      <c r="I6" s="19" t="inlineStr">
        <is>
          <t>USD</t>
        </is>
      </c>
      <c r="J6" s="19" t="inlineStr">
        <is>
          <t>Paid</t>
        </is>
      </c>
      <c r="K6" s="19" t="inlineStr">
        <is>
          <t>INV-0003</t>
        </is>
      </c>
      <c r="L6" s="19" t="inlineStr">
        <is>
          <t>July subscription, seat upgrade</t>
        </is>
      </c>
    </row>
    <row r="7">
      <c r="B7" s="19">
        <f>"REV-"&amp;TEXT(SUBTOTAL(103,$G$4:G7),"0000")</f>
        <v/>
      </c>
      <c r="C7" s="19" t="inlineStr">
        <is>
          <t>Nimbus Analytics</t>
        </is>
      </c>
      <c r="D7" s="19" t="inlineStr"/>
      <c r="E7" s="19" t="inlineStr">
        <is>
          <t>Harlow &amp; Finch</t>
        </is>
      </c>
      <c r="F7" s="19" t="inlineStr">
        <is>
          <t>Subscription Revenue</t>
        </is>
      </c>
      <c r="G7" s="25" t="n">
        <v>46174</v>
      </c>
      <c r="H7" s="21" t="n">
        <v>1800</v>
      </c>
      <c r="I7" s="19" t="inlineStr">
        <is>
          <t>USD</t>
        </is>
      </c>
      <c r="J7" s="19" t="inlineStr">
        <is>
          <t>Paid</t>
        </is>
      </c>
      <c r="K7" s="19" t="inlineStr">
        <is>
          <t>INV-0004</t>
        </is>
      </c>
      <c r="L7" s="19" t="inlineStr">
        <is>
          <t>June subscription</t>
        </is>
      </c>
    </row>
    <row r="8">
      <c r="B8" s="19">
        <f>"REV-"&amp;TEXT(SUBTOTAL(103,$G$4:G8),"0000")</f>
        <v/>
      </c>
      <c r="C8" s="19" t="inlineStr">
        <is>
          <t>Nimbus Analytics</t>
        </is>
      </c>
      <c r="D8" s="19" t="inlineStr"/>
      <c r="E8" s="19" t="inlineStr">
        <is>
          <t>Harlow &amp; Finch</t>
        </is>
      </c>
      <c r="F8" s="19" t="inlineStr">
        <is>
          <t>Subscription Revenue</t>
        </is>
      </c>
      <c r="G8" s="25" t="n">
        <v>46204</v>
      </c>
      <c r="H8" s="21" t="n">
        <v>1800</v>
      </c>
      <c r="I8" s="19" t="inlineStr">
        <is>
          <t>USD</t>
        </is>
      </c>
      <c r="J8" s="19" t="inlineStr">
        <is>
          <t>Paid</t>
        </is>
      </c>
      <c r="K8" s="19" t="inlineStr">
        <is>
          <t>INV-0005</t>
        </is>
      </c>
      <c r="L8" s="19" t="inlineStr">
        <is>
          <t>July subscription</t>
        </is>
      </c>
    </row>
    <row r="9">
      <c r="B9" s="19">
        <f>"REV-"&amp;TEXT(SUBTOTAL(103,$G$4:G9),"0000")</f>
        <v/>
      </c>
      <c r="C9" s="19" t="inlineStr">
        <is>
          <t>Nimbus Analytics</t>
        </is>
      </c>
      <c r="D9" s="19" t="inlineStr">
        <is>
          <t>Analytics Dashboard v2</t>
        </is>
      </c>
      <c r="E9" s="19" t="inlineStr">
        <is>
          <t>Vantage Point Capital</t>
        </is>
      </c>
      <c r="F9" s="19" t="inlineStr">
        <is>
          <t>Consulting</t>
        </is>
      </c>
      <c r="G9" s="25" t="n">
        <v>46218</v>
      </c>
      <c r="H9" s="21" t="n">
        <v>3000</v>
      </c>
      <c r="I9" s="19" t="inlineStr">
        <is>
          <t>USD</t>
        </is>
      </c>
      <c r="J9" s="19" t="inlineStr">
        <is>
          <t>Unpaid</t>
        </is>
      </c>
      <c r="K9" s="19" t="inlineStr">
        <is>
          <t>INV-0006</t>
        </is>
      </c>
      <c r="L9" s="19" t="inlineStr">
        <is>
          <t>Custom dashboard consulting engagement</t>
        </is>
      </c>
    </row>
    <row r="10">
      <c r="B10" s="19">
        <f>"REV-"&amp;TEXT(SUBTOTAL(103,$G$4:G10),"0000")</f>
        <v/>
      </c>
      <c r="C10" s="19" t="inlineStr">
        <is>
          <t>Kiln &amp; Co</t>
        </is>
      </c>
      <c r="D10" s="19" t="inlineStr"/>
      <c r="E10" s="19" t="inlineStr">
        <is>
          <t>Direct-to-Consumer Store</t>
        </is>
      </c>
      <c r="F10" s="19" t="inlineStr">
        <is>
          <t>Product Sales</t>
        </is>
      </c>
      <c r="G10" s="25" t="n">
        <v>46178</v>
      </c>
      <c r="H10" s="21" t="n">
        <v>3120.5</v>
      </c>
      <c r="I10" s="19" t="inlineStr">
        <is>
          <t>GBP</t>
        </is>
      </c>
      <c r="J10" s="19" t="inlineStr">
        <is>
          <t>Paid</t>
        </is>
      </c>
      <c r="K10" s="19" t="inlineStr"/>
      <c r="L10" s="19" t="inlineStr">
        <is>
          <t>Online store, May batch</t>
        </is>
      </c>
    </row>
    <row r="11">
      <c r="B11" s="19">
        <f>"REV-"&amp;TEXT(SUBTOTAL(103,$G$4:G11),"0000")</f>
        <v/>
      </c>
      <c r="C11" s="19" t="inlineStr">
        <is>
          <t>Kiln &amp; Co</t>
        </is>
      </c>
      <c r="D11" s="19" t="inlineStr"/>
      <c r="E11" s="19" t="inlineStr">
        <is>
          <t>Direct-to-Consumer Store</t>
        </is>
      </c>
      <c r="F11" s="19" t="inlineStr">
        <is>
          <t>Product Sales</t>
        </is>
      </c>
      <c r="G11" s="25" t="n">
        <v>46208</v>
      </c>
      <c r="H11" s="21" t="n">
        <v>4580.25</v>
      </c>
      <c r="I11" s="19" t="inlineStr">
        <is>
          <t>GBP</t>
        </is>
      </c>
      <c r="J11" s="19" t="inlineStr">
        <is>
          <t>Paid</t>
        </is>
      </c>
      <c r="K11" s="19" t="inlineStr"/>
      <c r="L11" s="19" t="inlineStr">
        <is>
          <t>Online store, June batch</t>
        </is>
      </c>
    </row>
    <row r="12">
      <c r="B12" s="19">
        <f>"REV-"&amp;TEXT(SUBTOTAL(103,$G$4:G12),"0000")</f>
        <v/>
      </c>
      <c r="C12" s="19" t="inlineStr">
        <is>
          <t>Kiln &amp; Co</t>
        </is>
      </c>
      <c r="D12" s="19" t="inlineStr"/>
      <c r="E12" s="19" t="inlineStr">
        <is>
          <t>The Nook Homeware</t>
        </is>
      </c>
      <c r="F12" s="19" t="inlineStr">
        <is>
          <t>Product Sales</t>
        </is>
      </c>
      <c r="G12" s="25" t="n">
        <v>46191</v>
      </c>
      <c r="H12" s="21" t="n">
        <v>1250</v>
      </c>
      <c r="I12" s="19" t="inlineStr">
        <is>
          <t>GBP</t>
        </is>
      </c>
      <c r="J12" s="19" t="inlineStr">
        <is>
          <t>Paid</t>
        </is>
      </c>
      <c r="K12" s="19" t="inlineStr">
        <is>
          <t>INV-0007</t>
        </is>
      </c>
      <c r="L12" s="19" t="inlineStr">
        <is>
          <t>Wholesale order #1</t>
        </is>
      </c>
    </row>
    <row r="13">
      <c r="B13" s="19">
        <f>"REV-"&amp;TEXT(SUBTOTAL(103,$G$4:G13),"0000")</f>
        <v/>
      </c>
      <c r="C13" s="19" t="inlineStr">
        <is>
          <t>Kiln &amp; Co</t>
        </is>
      </c>
      <c r="D13" s="19" t="inlineStr"/>
      <c r="E13" s="19" t="inlineStr">
        <is>
          <t>The Nook Homeware</t>
        </is>
      </c>
      <c r="F13" s="19" t="inlineStr">
        <is>
          <t>Product Sales</t>
        </is>
      </c>
      <c r="G13" s="25" t="n">
        <v>46223</v>
      </c>
      <c r="H13" s="21" t="n">
        <v>1875</v>
      </c>
      <c r="I13" s="19" t="inlineStr">
        <is>
          <t>GBP</t>
        </is>
      </c>
      <c r="J13" s="19" t="inlineStr">
        <is>
          <t>Unpaid</t>
        </is>
      </c>
      <c r="K13" s="19" t="inlineStr">
        <is>
          <t>INV-0008</t>
        </is>
      </c>
      <c r="L13" s="19" t="inlineStr">
        <is>
          <t>Wholesale order #2</t>
        </is>
      </c>
    </row>
    <row r="14">
      <c r="B14" s="19">
        <f>"REV-"&amp;TEXT(SUBTOTAL(103,$G$4:G14),"0000")</f>
        <v/>
      </c>
      <c r="C14" s="19" t="inlineStr">
        <is>
          <t>Pathlight Tutors</t>
        </is>
      </c>
      <c r="D14" s="19" t="inlineStr">
        <is>
          <t>Market Validation Interviews</t>
        </is>
      </c>
      <c r="E14" s="19" t="inlineStr">
        <is>
          <t>Riverside Family Co-op</t>
        </is>
      </c>
      <c r="F14" s="19" t="inlineStr">
        <is>
          <t>Service Revenue</t>
        </is>
      </c>
      <c r="G14" s="25" t="n">
        <v>46213</v>
      </c>
      <c r="H14" s="21" t="n">
        <v>450</v>
      </c>
      <c r="I14" s="19" t="inlineStr">
        <is>
          <t>USD</t>
        </is>
      </c>
      <c r="J14" s="19" t="inlineStr">
        <is>
          <t>Paid</t>
        </is>
      </c>
      <c r="K14" s="19" t="inlineStr"/>
      <c r="L14" s="19" t="inlineStr">
        <is>
          <t>Pilot tutoring sessions</t>
        </is>
      </c>
    </row>
  </sheetData>
  <conditionalFormatting sqref="J4:J20000">
    <cfRule type="expression" priority="1" dxfId="4">
      <formula>EXACT(J4,"Unpaid")</formula>
    </cfRule>
    <cfRule type="expression" priority="2" dxfId="0">
      <formula>EXACT(J4,"Paid")</formula>
    </cfRule>
    <cfRule type="expression" priority="3" dxfId="1">
      <formula>EXACT(J4,"Partially Paid")</formula>
    </cfRule>
    <cfRule type="expression" priority="4" dxfId="4">
      <formula>EXACT(J4,"Overdue")</formula>
    </cfRule>
  </conditionalFormatting>
  <dataValidations count="6">
    <dataValidation sqref="C4:C20000" showDropDown="0" showInputMessage="0" showErrorMessage="0" allowBlank="1" errorTitle="Invalid entry" error="Please choose a value from the dropdown list." type="list">
      <formula1>=List_CompanyNames</formula1>
    </dataValidation>
    <dataValidation sqref="D4:D20000" showDropDown="0" showInputMessage="0" showErrorMessage="0" allowBlank="1" errorTitle="Invalid entry" error="Please choose a value from the dropdown list." type="list">
      <formula1>=List_ProjectNames</formula1>
    </dataValidation>
    <dataValidation sqref="F4:F20000" showDropDown="0" showInputMessage="0" showErrorMessage="0" allowBlank="1" errorTitle="Invalid entry" error="Please choose a value from the dropdown list." type="list">
      <formula1>=List_RevenueCategories</formula1>
    </dataValidation>
    <dataValidation sqref="I4:I20000" showDropDown="0" showInputMessage="0" showErrorMessage="0" allowBlank="1" errorTitle="Invalid entry" error="Please choose a value from the dropdown list." type="list">
      <formula1>=List_Currencies</formula1>
    </dataValidation>
    <dataValidation sqref="J4:J20000" showDropDown="0" showInputMessage="0" showErrorMessage="0" allowBlank="1" errorTitle="Invalid entry" error="Please choose a value from the dropdown list." type="list">
      <formula1>=List_PaymentStatus</formula1>
    </dataValidation>
    <dataValidation sqref="K4:K20000" showDropDown="0" showInputMessage="0" showErrorMessage="0" allowBlank="1" errorTitle="Invalid entry" error="Please choose a value from the dropdown list." type="list">
      <formula1>=List_InvoiceIDs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D9488"/>
    <outlinePr summaryBelow="1" summaryRight="1"/>
    <pageSetUpPr/>
  </sheetPr>
  <dimension ref="B1:M1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22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5" customWidth="1" min="11" max="11"/>
    <col width="12" customWidth="1" min="12" max="12"/>
    <col width="26" customWidth="1" min="13" max="13"/>
  </cols>
  <sheetData>
    <row r="1" ht="24" customHeight="1">
      <c r="B1" s="22" t="inlineStr">
        <is>
          <t>📄  Invoices</t>
        </is>
      </c>
    </row>
    <row r="2">
      <c r="B2" s="3" t="inlineStr">
        <is>
          <t>One row per invoice. Amount Collected and Outstanding are calculated automatically from the Revenue table - link a Revenue row to an Invoice ID to mark it collected.</t>
        </is>
      </c>
    </row>
    <row r="3" ht="32" customHeight="1">
      <c r="B3" s="24" t="inlineStr">
        <is>
          <t>Invoice ID</t>
        </is>
      </c>
      <c r="C3" s="24" t="inlineStr">
        <is>
          <t>Company</t>
        </is>
      </c>
      <c r="D3" s="24" t="inlineStr">
        <is>
          <t>Client</t>
        </is>
      </c>
      <c r="E3" s="24" t="inlineStr">
        <is>
          <t>Currency</t>
        </is>
      </c>
      <c r="F3" s="24" t="inlineStr">
        <is>
          <t>Amount</t>
        </is>
      </c>
      <c r="G3" s="24" t="inlineStr">
        <is>
          <t>Issue Date</t>
        </is>
      </c>
      <c r="H3" s="24" t="inlineStr">
        <is>
          <t>Due Date</t>
        </is>
      </c>
      <c r="I3" s="24" t="inlineStr">
        <is>
          <t>Status</t>
        </is>
      </c>
      <c r="J3" s="24" t="inlineStr">
        <is>
          <t>Paid Date</t>
        </is>
      </c>
      <c r="K3" s="24" t="inlineStr">
        <is>
          <t>Amount Collected</t>
        </is>
      </c>
      <c r="L3" s="24" t="inlineStr">
        <is>
          <t>Outstanding</t>
        </is>
      </c>
      <c r="M3" s="24" t="inlineStr">
        <is>
          <t>Notes</t>
        </is>
      </c>
    </row>
    <row r="4">
      <c r="B4" s="19">
        <f>"INV-"&amp;TEXT(SUBTOTAL(103,$G$4:G4),"0000")</f>
        <v/>
      </c>
      <c r="C4" s="19" t="inlineStr">
        <is>
          <t>Nimbus Analytics</t>
        </is>
      </c>
      <c r="D4" s="19" t="inlineStr">
        <is>
          <t>Beacon Retail Group</t>
        </is>
      </c>
      <c r="E4" s="19" t="inlineStr">
        <is>
          <t>USD</t>
        </is>
      </c>
      <c r="F4" s="21" t="n">
        <v>4200</v>
      </c>
      <c r="G4" s="25" t="n">
        <v>46143</v>
      </c>
      <c r="H4" s="25" t="n">
        <v>46157</v>
      </c>
      <c r="I4" s="19" t="inlineStr">
        <is>
          <t>Paid</t>
        </is>
      </c>
      <c r="J4" s="25" t="n">
        <v>46152</v>
      </c>
      <c r="K4" s="21">
        <f>ROUND(SUMIFS(Tbl_Revenue[Amount],Tbl_Revenue[Invoice ID],B4,Tbl_Revenue[Payment Status],"Paid"),2)</f>
        <v/>
      </c>
      <c r="L4" s="21">
        <f>ROUND(MAX(0,F4-K4),2)</f>
        <v/>
      </c>
      <c r="M4" s="19" t="inlineStr">
        <is>
          <t>May subscription invoice</t>
        </is>
      </c>
    </row>
    <row r="5">
      <c r="B5" s="19">
        <f>"INV-"&amp;TEXT(SUBTOTAL(103,$G$4:G5),"0000")</f>
        <v/>
      </c>
      <c r="C5" s="19" t="inlineStr">
        <is>
          <t>Nimbus Analytics</t>
        </is>
      </c>
      <c r="D5" s="19" t="inlineStr">
        <is>
          <t>Beacon Retail Group</t>
        </is>
      </c>
      <c r="E5" s="19" t="inlineStr">
        <is>
          <t>USD</t>
        </is>
      </c>
      <c r="F5" s="21" t="n">
        <v>4200</v>
      </c>
      <c r="G5" s="25" t="n">
        <v>46174</v>
      </c>
      <c r="H5" s="25" t="n">
        <v>46188</v>
      </c>
      <c r="I5" s="19" t="inlineStr">
        <is>
          <t>Paid</t>
        </is>
      </c>
      <c r="J5" s="25" t="n">
        <v>46185</v>
      </c>
      <c r="K5" s="21">
        <f>ROUND(SUMIFS(Tbl_Revenue[Amount],Tbl_Revenue[Invoice ID],B5,Tbl_Revenue[Payment Status],"Paid"),2)</f>
        <v/>
      </c>
      <c r="L5" s="21">
        <f>ROUND(MAX(0,F5-K5),2)</f>
        <v/>
      </c>
      <c r="M5" s="19" t="inlineStr">
        <is>
          <t>June subscription invoice</t>
        </is>
      </c>
    </row>
    <row r="6">
      <c r="B6" s="19">
        <f>"INV-"&amp;TEXT(SUBTOTAL(103,$G$4:G6),"0000")</f>
        <v/>
      </c>
      <c r="C6" s="19" t="inlineStr">
        <is>
          <t>Nimbus Analytics</t>
        </is>
      </c>
      <c r="D6" s="19" t="inlineStr">
        <is>
          <t>Beacon Retail Group</t>
        </is>
      </c>
      <c r="E6" s="19" t="inlineStr">
        <is>
          <t>USD</t>
        </is>
      </c>
      <c r="F6" s="21" t="n">
        <v>4600</v>
      </c>
      <c r="G6" s="25" t="n">
        <v>46204</v>
      </c>
      <c r="H6" s="25" t="n">
        <v>46218</v>
      </c>
      <c r="I6" s="19" t="inlineStr">
        <is>
          <t>Paid</t>
        </is>
      </c>
      <c r="J6" s="25" t="n">
        <v>46212</v>
      </c>
      <c r="K6" s="21">
        <f>ROUND(SUMIFS(Tbl_Revenue[Amount],Tbl_Revenue[Invoice ID],B6,Tbl_Revenue[Payment Status],"Paid"),2)</f>
        <v/>
      </c>
      <c r="L6" s="21">
        <f>ROUND(MAX(0,F6-K6),2)</f>
        <v/>
      </c>
      <c r="M6" s="19" t="inlineStr">
        <is>
          <t>July subscription invoice</t>
        </is>
      </c>
    </row>
    <row r="7">
      <c r="B7" s="19">
        <f>"INV-"&amp;TEXT(SUBTOTAL(103,$G$4:G7),"0000")</f>
        <v/>
      </c>
      <c r="C7" s="19" t="inlineStr">
        <is>
          <t>Nimbus Analytics</t>
        </is>
      </c>
      <c r="D7" s="19" t="inlineStr">
        <is>
          <t>Harlow &amp; Finch</t>
        </is>
      </c>
      <c r="E7" s="19" t="inlineStr">
        <is>
          <t>USD</t>
        </is>
      </c>
      <c r="F7" s="21" t="n">
        <v>1800</v>
      </c>
      <c r="G7" s="25" t="n">
        <v>46174</v>
      </c>
      <c r="H7" s="25" t="n">
        <v>46188</v>
      </c>
      <c r="I7" s="19" t="inlineStr">
        <is>
          <t>Paid</t>
        </is>
      </c>
      <c r="J7" s="25" t="n">
        <v>46187</v>
      </c>
      <c r="K7" s="21">
        <f>ROUND(SUMIFS(Tbl_Revenue[Amount],Tbl_Revenue[Invoice ID],B7,Tbl_Revenue[Payment Status],"Paid"),2)</f>
        <v/>
      </c>
      <c r="L7" s="21">
        <f>ROUND(MAX(0,F7-K7),2)</f>
        <v/>
      </c>
      <c r="M7" s="19" t="inlineStr">
        <is>
          <t>June subscription invoice</t>
        </is>
      </c>
    </row>
    <row r="8">
      <c r="B8" s="19">
        <f>"INV-"&amp;TEXT(SUBTOTAL(103,$G$4:G8),"0000")</f>
        <v/>
      </c>
      <c r="C8" s="19" t="inlineStr">
        <is>
          <t>Nimbus Analytics</t>
        </is>
      </c>
      <c r="D8" s="19" t="inlineStr">
        <is>
          <t>Harlow &amp; Finch</t>
        </is>
      </c>
      <c r="E8" s="19" t="inlineStr">
        <is>
          <t>USD</t>
        </is>
      </c>
      <c r="F8" s="21" t="n">
        <v>1800</v>
      </c>
      <c r="G8" s="25" t="n">
        <v>46204</v>
      </c>
      <c r="H8" s="25" t="n">
        <v>46218</v>
      </c>
      <c r="I8" s="19" t="inlineStr">
        <is>
          <t>Paid</t>
        </is>
      </c>
      <c r="J8" s="25" t="n">
        <v>46214</v>
      </c>
      <c r="K8" s="21">
        <f>ROUND(SUMIFS(Tbl_Revenue[Amount],Tbl_Revenue[Invoice ID],B8,Tbl_Revenue[Payment Status],"Paid"),2)</f>
        <v/>
      </c>
      <c r="L8" s="21">
        <f>ROUND(MAX(0,F8-K8),2)</f>
        <v/>
      </c>
      <c r="M8" s="19" t="inlineStr">
        <is>
          <t>July subscription invoice</t>
        </is>
      </c>
    </row>
    <row r="9">
      <c r="B9" s="19">
        <f>"INV-"&amp;TEXT(SUBTOTAL(103,$G$4:G9),"0000")</f>
        <v/>
      </c>
      <c r="C9" s="19" t="inlineStr">
        <is>
          <t>Nimbus Analytics</t>
        </is>
      </c>
      <c r="D9" s="19" t="inlineStr">
        <is>
          <t>Vantage Point Capital</t>
        </is>
      </c>
      <c r="E9" s="19" t="inlineStr">
        <is>
          <t>USD</t>
        </is>
      </c>
      <c r="F9" s="21" t="n">
        <v>3000</v>
      </c>
      <c r="G9" s="25" t="n">
        <v>46218</v>
      </c>
      <c r="H9" s="25" t="n">
        <v>46248</v>
      </c>
      <c r="I9" s="19" t="inlineStr">
        <is>
          <t>Sent</t>
        </is>
      </c>
      <c r="J9" s="25" t="n"/>
      <c r="K9" s="21">
        <f>ROUND(SUMIFS(Tbl_Revenue[Amount],Tbl_Revenue[Invoice ID],B9,Tbl_Revenue[Payment Status],"Paid"),2)</f>
        <v/>
      </c>
      <c r="L9" s="21">
        <f>ROUND(MAX(0,F9-K9),2)</f>
        <v/>
      </c>
      <c r="M9" s="19" t="inlineStr">
        <is>
          <t>Consulting engagement, net 30</t>
        </is>
      </c>
    </row>
    <row r="10">
      <c r="B10" s="19">
        <f>"INV-"&amp;TEXT(SUBTOTAL(103,$G$4:G10),"0000")</f>
        <v/>
      </c>
      <c r="C10" s="19" t="inlineStr">
        <is>
          <t>Kiln &amp; Co</t>
        </is>
      </c>
      <c r="D10" s="19" t="inlineStr">
        <is>
          <t>The Nook Homeware</t>
        </is>
      </c>
      <c r="E10" s="19" t="inlineStr">
        <is>
          <t>GBP</t>
        </is>
      </c>
      <c r="F10" s="21" t="n">
        <v>1250</v>
      </c>
      <c r="G10" s="25" t="n">
        <v>46191</v>
      </c>
      <c r="H10" s="25" t="n">
        <v>46205</v>
      </c>
      <c r="I10" s="19" t="inlineStr">
        <is>
          <t>Paid</t>
        </is>
      </c>
      <c r="J10" s="25" t="n">
        <v>46203</v>
      </c>
      <c r="K10" s="21">
        <f>ROUND(SUMIFS(Tbl_Revenue[Amount],Tbl_Revenue[Invoice ID],B10,Tbl_Revenue[Payment Status],"Paid"),2)</f>
        <v/>
      </c>
      <c r="L10" s="21">
        <f>ROUND(MAX(0,F10-K10),2)</f>
        <v/>
      </c>
      <c r="M10" s="19" t="inlineStr">
        <is>
          <t>Wholesale order #1</t>
        </is>
      </c>
    </row>
    <row r="11">
      <c r="B11" s="19">
        <f>"INV-"&amp;TEXT(SUBTOTAL(103,$G$4:G11),"0000")</f>
        <v/>
      </c>
      <c r="C11" s="19" t="inlineStr">
        <is>
          <t>Kiln &amp; Co</t>
        </is>
      </c>
      <c r="D11" s="19" t="inlineStr">
        <is>
          <t>The Nook Homeware</t>
        </is>
      </c>
      <c r="E11" s="19" t="inlineStr">
        <is>
          <t>GBP</t>
        </is>
      </c>
      <c r="F11" s="21" t="n">
        <v>1875</v>
      </c>
      <c r="G11" s="25" t="n">
        <v>46223</v>
      </c>
      <c r="H11" s="25" t="n">
        <v>46237</v>
      </c>
      <c r="I11" s="19" t="inlineStr">
        <is>
          <t>Sent</t>
        </is>
      </c>
      <c r="J11" s="25" t="n"/>
      <c r="K11" s="21">
        <f>ROUND(SUMIFS(Tbl_Revenue[Amount],Tbl_Revenue[Invoice ID],B11,Tbl_Revenue[Payment Status],"Paid"),2)</f>
        <v/>
      </c>
      <c r="L11" s="21">
        <f>ROUND(MAX(0,F11-K11),2)</f>
        <v/>
      </c>
      <c r="M11" s="19" t="inlineStr">
        <is>
          <t>Wholesale order #2</t>
        </is>
      </c>
    </row>
  </sheetData>
  <conditionalFormatting sqref="I4:I5000">
    <cfRule type="expression" priority="1" dxfId="2">
      <formula>EXACT(I4,"Draft")</formula>
    </cfRule>
    <cfRule type="expression" priority="2" dxfId="3">
      <formula>EXACT(I4,"Sent")</formula>
    </cfRule>
    <cfRule type="expression" priority="3" dxfId="0">
      <formula>EXACT(I4,"Paid")</formula>
    </cfRule>
    <cfRule type="expression" priority="4" dxfId="4">
      <formula>EXACT(I4,"Overdue")</formula>
    </cfRule>
    <cfRule type="expression" priority="5" dxfId="2">
      <formula>EXACT(I4,"Cancelled")</formula>
    </cfRule>
  </conditionalFormatting>
  <dataValidations count="3">
    <dataValidation sqref="C4:C5000" showDropDown="0" showInputMessage="0" showErrorMessage="0" allowBlank="1" errorTitle="Invalid entry" error="Please choose a value from the dropdown list." type="list">
      <formula1>=List_CompanyNames</formula1>
    </dataValidation>
    <dataValidation sqref="E4:E5000" showDropDown="0" showInputMessage="0" showErrorMessage="0" allowBlank="1" errorTitle="Invalid entry" error="Please choose a value from the dropdown list." type="list">
      <formula1>=List_Currencies</formula1>
    </dataValidation>
    <dataValidation sqref="I4:I5000" showDropDown="0" showInputMessage="0" showErrorMessage="0" allowBlank="1" errorTitle="Invalid entry" error="Please choose a value from the dropdown list." type="list">
      <formula1>=List_InvoiceStatus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D9488"/>
    <outlinePr summaryBelow="1" summaryRight="1"/>
    <pageSetUpPr/>
  </sheetPr>
  <dimension ref="B1:J12"/>
  <sheetViews>
    <sheetView showGridLines="0"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2" customWidth="1" min="2" max="2"/>
    <col width="18" customWidth="1" min="3" max="3"/>
    <col width="18" customWidth="1" min="4" max="4"/>
    <col width="12" customWidth="1" min="5" max="5"/>
    <col width="15" customWidth="1" min="6" max="6"/>
    <col width="13" customWidth="1" min="7" max="7"/>
    <col width="12" customWidth="1" min="8" max="8"/>
    <col width="10" customWidth="1" min="9" max="9"/>
    <col width="26" customWidth="1" min="10" max="10"/>
  </cols>
  <sheetData>
    <row r="1" ht="24" customHeight="1">
      <c r="B1" s="22" t="inlineStr">
        <is>
          <t>📊  Budgets — Budget vs Actual</t>
        </is>
      </c>
    </row>
    <row r="2">
      <c r="B2" s="3" t="inlineStr">
        <is>
          <t>One row per company/category/month. Actual Spent and Variance pull live from Expenses - this table is the budget-vs-actual report.</t>
        </is>
      </c>
    </row>
    <row r="3" ht="32" customHeight="1">
      <c r="B3" s="24" t="inlineStr">
        <is>
          <t>Budget ID</t>
        </is>
      </c>
      <c r="C3" s="24" t="inlineStr">
        <is>
          <t>Company</t>
        </is>
      </c>
      <c r="D3" s="24" t="inlineStr">
        <is>
          <t>Category</t>
        </is>
      </c>
      <c r="E3" s="24" t="inlineStr">
        <is>
          <t>Month</t>
        </is>
      </c>
      <c r="F3" s="24" t="inlineStr">
        <is>
          <t>Budgeted Amount</t>
        </is>
      </c>
      <c r="G3" s="24" t="inlineStr">
        <is>
          <t>Actual Spent</t>
        </is>
      </c>
      <c r="H3" s="24" t="inlineStr">
        <is>
          <t>Variance</t>
        </is>
      </c>
      <c r="I3" s="24" t="inlineStr">
        <is>
          <t>% Used</t>
        </is>
      </c>
      <c r="J3" s="24" t="inlineStr">
        <is>
          <t>Notes</t>
        </is>
      </c>
    </row>
    <row r="4">
      <c r="B4" s="19">
        <f>"BUD-"&amp;TEXT(SUBTOTAL(103,$E$4:E4),"0000")</f>
        <v/>
      </c>
      <c r="C4" s="19" t="inlineStr">
        <is>
          <t>Nimbus Analytics</t>
        </is>
      </c>
      <c r="D4" s="19" t="inlineStr">
        <is>
          <t>Software &amp; Tools</t>
        </is>
      </c>
      <c r="E4" s="33" t="n">
        <v>46204</v>
      </c>
      <c r="F4" s="21" t="n">
        <v>800</v>
      </c>
      <c r="G4" s="21">
        <f>ROUND(SUMIFS(Tbl_Expenses[Total],Tbl_Expenses[Company],C4,Tbl_Expenses[Category],D4,Tbl_Expenses[Date],"&gt;="&amp;E4,Tbl_Expenses[Date],"&lt;="&amp;EOMONTH(E4,0)),2)</f>
        <v/>
      </c>
      <c r="H4" s="21">
        <f>ROUND(F4-G4,2)</f>
        <v/>
      </c>
      <c r="I4" s="26">
        <f>IF(F4=0,0,G4/F4)</f>
        <v/>
      </c>
      <c r="J4" s="19" t="n"/>
    </row>
    <row r="5">
      <c r="B5" s="19">
        <f>"BUD-"&amp;TEXT(SUBTOTAL(103,$E$4:E5),"0000")</f>
        <v/>
      </c>
      <c r="C5" s="19" t="inlineStr">
        <is>
          <t>Nimbus Analytics</t>
        </is>
      </c>
      <c r="D5" s="19" t="inlineStr">
        <is>
          <t>Contractors</t>
        </is>
      </c>
      <c r="E5" s="33" t="n">
        <v>46204</v>
      </c>
      <c r="F5" s="21" t="n">
        <v>1500</v>
      </c>
      <c r="G5" s="21">
        <f>ROUND(SUMIFS(Tbl_Expenses[Total],Tbl_Expenses[Company],C5,Tbl_Expenses[Category],D5,Tbl_Expenses[Date],"&gt;="&amp;E5,Tbl_Expenses[Date],"&lt;="&amp;EOMONTH(E5,0)),2)</f>
        <v/>
      </c>
      <c r="H5" s="21">
        <f>ROUND(F5-G5,2)</f>
        <v/>
      </c>
      <c r="I5" s="26">
        <f>IF(F5=0,0,G5/F5)</f>
        <v/>
      </c>
      <c r="J5" s="19" t="n"/>
    </row>
    <row r="6">
      <c r="B6" s="19">
        <f>"BUD-"&amp;TEXT(SUBTOTAL(103,$E$4:E6),"0000")</f>
        <v/>
      </c>
      <c r="C6" s="19" t="inlineStr">
        <is>
          <t>Nimbus Analytics</t>
        </is>
      </c>
      <c r="D6" s="19" t="inlineStr">
        <is>
          <t>Rent &amp; Utilities</t>
        </is>
      </c>
      <c r="E6" s="33" t="n">
        <v>46204</v>
      </c>
      <c r="F6" s="21" t="n">
        <v>500</v>
      </c>
      <c r="G6" s="21">
        <f>ROUND(SUMIFS(Tbl_Expenses[Total],Tbl_Expenses[Company],C6,Tbl_Expenses[Category],D6,Tbl_Expenses[Date],"&gt;="&amp;E6,Tbl_Expenses[Date],"&lt;="&amp;EOMONTH(E6,0)),2)</f>
        <v/>
      </c>
      <c r="H6" s="21">
        <f>ROUND(F6-G6,2)</f>
        <v/>
      </c>
      <c r="I6" s="26">
        <f>IF(F6=0,0,G6/F6)</f>
        <v/>
      </c>
      <c r="J6" s="19" t="n"/>
    </row>
    <row r="7">
      <c r="B7" s="19">
        <f>"BUD-"&amp;TEXT(SUBTOTAL(103,$E$4:E7),"0000")</f>
        <v/>
      </c>
      <c r="C7" s="19" t="inlineStr">
        <is>
          <t>Kiln &amp; Co</t>
        </is>
      </c>
      <c r="D7" s="19" t="inlineStr">
        <is>
          <t>Materials &amp; Inventory</t>
        </is>
      </c>
      <c r="E7" s="33" t="n">
        <v>46204</v>
      </c>
      <c r="F7" s="21" t="n">
        <v>2500</v>
      </c>
      <c r="G7" s="21">
        <f>ROUND(SUMIFS(Tbl_Expenses[Total],Tbl_Expenses[Company],C7,Tbl_Expenses[Category],D7,Tbl_Expenses[Date],"&gt;="&amp;E7,Tbl_Expenses[Date],"&lt;="&amp;EOMONTH(E7,0)),2)</f>
        <v/>
      </c>
      <c r="H7" s="21">
        <f>ROUND(F7-G7,2)</f>
        <v/>
      </c>
      <c r="I7" s="26">
        <f>IF(F7=0,0,G7/F7)</f>
        <v/>
      </c>
      <c r="J7" s="19" t="n"/>
    </row>
    <row r="8">
      <c r="B8" s="19">
        <f>"BUD-"&amp;TEXT(SUBTOTAL(103,$E$4:E8),"0000")</f>
        <v/>
      </c>
      <c r="C8" s="19" t="inlineStr">
        <is>
          <t>Kiln &amp; Co</t>
        </is>
      </c>
      <c r="D8" s="19" t="inlineStr">
        <is>
          <t>Marketing</t>
        </is>
      </c>
      <c r="E8" s="33" t="n">
        <v>46204</v>
      </c>
      <c r="F8" s="21" t="n">
        <v>800</v>
      </c>
      <c r="G8" s="21">
        <f>ROUND(SUMIFS(Tbl_Expenses[Total],Tbl_Expenses[Company],C8,Tbl_Expenses[Category],D8,Tbl_Expenses[Date],"&gt;="&amp;E8,Tbl_Expenses[Date],"&lt;="&amp;EOMONTH(E8,0)),2)</f>
        <v/>
      </c>
      <c r="H8" s="21">
        <f>ROUND(F8-G8,2)</f>
        <v/>
      </c>
      <c r="I8" s="26">
        <f>IF(F8=0,0,G8/F8)</f>
        <v/>
      </c>
      <c r="J8" s="19" t="n"/>
    </row>
    <row r="9">
      <c r="B9" s="19">
        <f>"BUD-"&amp;TEXT(SUBTOTAL(103,$E$4:E9),"0000")</f>
        <v/>
      </c>
      <c r="C9" s="19" t="inlineStr">
        <is>
          <t>Kiln &amp; Co</t>
        </is>
      </c>
      <c r="D9" s="19" t="inlineStr">
        <is>
          <t>Shipping &amp; Fulfillment</t>
        </is>
      </c>
      <c r="E9" s="33" t="n">
        <v>46204</v>
      </c>
      <c r="F9" s="21" t="n">
        <v>500</v>
      </c>
      <c r="G9" s="21">
        <f>ROUND(SUMIFS(Tbl_Expenses[Total],Tbl_Expenses[Company],C9,Tbl_Expenses[Category],D9,Tbl_Expenses[Date],"&gt;="&amp;E9,Tbl_Expenses[Date],"&lt;="&amp;EOMONTH(E9,0)),2)</f>
        <v/>
      </c>
      <c r="H9" s="21">
        <f>ROUND(F9-G9,2)</f>
        <v/>
      </c>
      <c r="I9" s="26">
        <f>IF(F9=0,0,G9/F9)</f>
        <v/>
      </c>
      <c r="J9" s="19" t="n"/>
    </row>
    <row r="10">
      <c r="B10" s="19">
        <f>"BUD-"&amp;TEXT(SUBTOTAL(103,$E$4:E10),"0000")</f>
        <v/>
      </c>
      <c r="C10" s="19" t="inlineStr">
        <is>
          <t>Pathlight Tutors</t>
        </is>
      </c>
      <c r="D10" s="19" t="inlineStr">
        <is>
          <t>Contractors</t>
        </is>
      </c>
      <c r="E10" s="33" t="n">
        <v>46204</v>
      </c>
      <c r="F10" s="21" t="n">
        <v>1000</v>
      </c>
      <c r="G10" s="21">
        <f>ROUND(SUMIFS(Tbl_Expenses[Total],Tbl_Expenses[Company],C10,Tbl_Expenses[Category],D10,Tbl_Expenses[Date],"&gt;="&amp;E10,Tbl_Expenses[Date],"&lt;="&amp;EOMONTH(E10,0)),2)</f>
        <v/>
      </c>
      <c r="H10" s="21">
        <f>ROUND(F10-G10,2)</f>
        <v/>
      </c>
      <c r="I10" s="26">
        <f>IF(F10=0,0,G10/F10)</f>
        <v/>
      </c>
      <c r="J10" s="19" t="n"/>
    </row>
    <row r="11">
      <c r="B11" s="19">
        <f>"BUD-"&amp;TEXT(SUBTOTAL(103,$E$4:E11),"0000")</f>
        <v/>
      </c>
      <c r="C11" s="19" t="inlineStr">
        <is>
          <t>Pathlight Tutors</t>
        </is>
      </c>
      <c r="D11" s="19" t="inlineStr">
        <is>
          <t>Legal &amp; Professional</t>
        </is>
      </c>
      <c r="E11" s="33" t="n">
        <v>46204</v>
      </c>
      <c r="F11" s="21" t="n">
        <v>600</v>
      </c>
      <c r="G11" s="21">
        <f>ROUND(SUMIFS(Tbl_Expenses[Total],Tbl_Expenses[Company],C11,Tbl_Expenses[Category],D11,Tbl_Expenses[Date],"&gt;="&amp;E11,Tbl_Expenses[Date],"&lt;="&amp;EOMONTH(E11,0)),2)</f>
        <v/>
      </c>
      <c r="H11" s="21">
        <f>ROUND(F11-G11,2)</f>
        <v/>
      </c>
      <c r="I11" s="26">
        <f>IF(F11=0,0,G11/F11)</f>
        <v/>
      </c>
      <c r="J11" s="19" t="n"/>
    </row>
    <row r="12">
      <c r="B12" s="19">
        <f>"BUD-"&amp;TEXT(SUBTOTAL(103,$E$4:E12),"0000")</f>
        <v/>
      </c>
      <c r="C12" s="19" t="inlineStr">
        <is>
          <t>Pathlight Tutors</t>
        </is>
      </c>
      <c r="D12" s="19" t="inlineStr">
        <is>
          <t>Software &amp; Tools</t>
        </is>
      </c>
      <c r="E12" s="33" t="n">
        <v>46204</v>
      </c>
      <c r="F12" s="21" t="n">
        <v>100</v>
      </c>
      <c r="G12" s="21">
        <f>ROUND(SUMIFS(Tbl_Expenses[Total],Tbl_Expenses[Company],C12,Tbl_Expenses[Category],D12,Tbl_Expenses[Date],"&gt;="&amp;E12,Tbl_Expenses[Date],"&lt;="&amp;EOMONTH(E12,0)),2)</f>
        <v/>
      </c>
      <c r="H12" s="21">
        <f>ROUND(F12-G12,2)</f>
        <v/>
      </c>
      <c r="I12" s="26">
        <f>IF(F12=0,0,G12/F12)</f>
        <v/>
      </c>
      <c r="J12" s="19" t="n"/>
    </row>
  </sheetData>
  <conditionalFormatting sqref="I4:I2000">
    <cfRule type="dataBar" priority="1">
      <dataBar showValue="1">
        <cfvo type="num" val="0"/>
        <cfvo type="num" val="100"/>
        <color rgb="00F59E0B"/>
      </dataBar>
    </cfRule>
  </conditionalFormatting>
  <conditionalFormatting sqref="H4:H2000">
    <cfRule type="expression" priority="2" dxfId="6">
      <formula>$H4&lt;0</formula>
    </cfRule>
  </conditionalFormatting>
  <dataValidations count="2">
    <dataValidation sqref="C4:C2000" showDropDown="0" showInputMessage="0" showErrorMessage="0" allowBlank="1" errorTitle="Invalid entry" error="Please choose a value from the dropdown list." type="list">
      <formula1>=List_CompanyNames</formula1>
    </dataValidation>
    <dataValidation sqref="D4:D2000" showDropDown="0" showInputMessage="0" showErrorMessage="0" allowBlank="1" errorTitle="Invalid entry" error="Please choose a value from the dropdown list." type="list">
      <formula1>=List_ExpenseCategories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D9488"/>
    <outlinePr summaryBelow="1" summaryRight="1"/>
    <pageSetUpPr/>
  </sheetPr>
  <dimension ref="B2:R8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3" customWidth="1" min="4" max="4"/>
    <col width="12" customWidth="1" min="5" max="5"/>
    <col width="10" customWidth="1" min="6" max="6"/>
    <col width="12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B2" s="34" t="inlineStr">
        <is>
          <t>💰 Finance — P&amp;L, Budgets &amp; Cash Flow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 ht="16" customHeight="1">
      <c r="B5" s="3" t="inlineStr">
        <is>
          <t>Every figure below is a live formula against Expenses, Revenue, and Invoices - nothing is re-typed here.</t>
        </is>
      </c>
    </row>
    <row r="7">
      <c r="B7" s="4" t="inlineStr">
        <is>
          <t>NAVIGATE</t>
        </is>
      </c>
    </row>
    <row r="8" ht="26" customHeight="1">
      <c r="B8" s="7">
        <f>HYPERLINK("#'Expenses'!B4","🧾 Expenses")</f>
        <v/>
      </c>
      <c r="E8" s="5">
        <f>HYPERLINK("#'Revenue'!B4","💰 Revenue")</f>
        <v/>
      </c>
      <c r="H8" s="6">
        <f>HYPERLINK("#'Invoices'!B4","📄 Invoices")</f>
        <v/>
      </c>
      <c r="K8" s="7">
        <f>HYPERLINK("#'Budgets'!B4","📊 Budgets")</f>
        <v/>
      </c>
      <c r="N8" s="9">
        <f>HYPERLINK("#'Vendors'!B4","🏭 Vendors")</f>
        <v/>
      </c>
      <c r="Q8" s="35">
        <f>HYPERLINK("#'Home'!B4","🏠 Home")</f>
        <v/>
      </c>
    </row>
    <row r="10">
      <c r="B10" s="4" t="inlineStr">
        <is>
          <t>KEY METRICS</t>
        </is>
      </c>
    </row>
    <row r="11" ht="18" customHeight="1">
      <c r="B11" s="11" t="inlineStr">
        <is>
          <t>Total Revenue</t>
        </is>
      </c>
      <c r="C11" s="12" t="n"/>
      <c r="D11" s="12" t="n"/>
      <c r="E11" s="15" t="inlineStr">
        <is>
          <t>Total Expenses</t>
        </is>
      </c>
      <c r="F11" s="12" t="n"/>
      <c r="G11" s="12" t="n"/>
      <c r="H11" s="16" t="inlineStr">
        <is>
          <t>Net Profit</t>
        </is>
      </c>
      <c r="I11" s="12" t="n"/>
      <c r="J11" s="12" t="n"/>
    </row>
    <row r="12">
      <c r="B12" s="17">
        <f>ROUND(SUM(Tbl_Revenue[Amount]),0)</f>
        <v/>
      </c>
      <c r="C12" s="12" t="n"/>
      <c r="D12" s="12" t="n"/>
      <c r="E12" s="17">
        <f>ROUND(SUM(Tbl_Expenses[Total]),0)</f>
        <v/>
      </c>
      <c r="F12" s="12" t="n"/>
      <c r="G12" s="12" t="n"/>
      <c r="H12" s="17">
        <f>ROUND(SUM(Tbl_Revenue[Amount])-SUM(Tbl_Expenses[Total]),0)</f>
        <v/>
      </c>
      <c r="I12" s="12" t="n"/>
      <c r="J12" s="12" t="n"/>
    </row>
    <row r="13"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5" ht="18" customHeight="1">
      <c r="B15" s="15" t="inlineStr">
        <is>
          <t>Outstanding Reimbursements</t>
        </is>
      </c>
      <c r="C15" s="12" t="n"/>
      <c r="D15" s="12" t="n"/>
      <c r="E15" s="13" t="inlineStr">
        <is>
          <t>Outstanding Invoices</t>
        </is>
      </c>
      <c r="F15" s="12" t="n"/>
      <c r="G15" s="12" t="n"/>
      <c r="H15" s="11" t="inlineStr">
        <is>
          <t>Blended Profit Margin</t>
        </is>
      </c>
      <c r="I15" s="12" t="n"/>
      <c r="J15" s="12" t="n"/>
    </row>
    <row r="16">
      <c r="B16" s="17">
        <f>ROUND(SUMIFS(Tbl_Expenses[Total],Tbl_Expenses[Reimbursable],"Yes",Tbl_Expenses[Reimbursed],"No"),0)</f>
        <v/>
      </c>
      <c r="C16" s="12" t="n"/>
      <c r="D16" s="12" t="n"/>
      <c r="E16" s="17">
        <f>ROUND(SUM(Tbl_Invoices[Outstanding]),0)</f>
        <v/>
      </c>
      <c r="F16" s="12" t="n"/>
      <c r="G16" s="12" t="n"/>
      <c r="H16" s="36">
        <f>IFERROR((SUM(Tbl_Revenue[Amount])-SUM(Tbl_Expenses[Total]))/SUM(Tbl_Revenue[Amount]),0)</f>
        <v/>
      </c>
      <c r="I16" s="12" t="n"/>
      <c r="J16" s="12" t="n"/>
    </row>
    <row r="17"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20">
      <c r="B20" s="4" t="inlineStr">
        <is>
          <t>P&amp;L BY COMPANY</t>
        </is>
      </c>
    </row>
    <row r="21">
      <c r="B21" s="24" t="inlineStr">
        <is>
          <t>Company</t>
        </is>
      </c>
      <c r="C21" s="24" t="inlineStr">
        <is>
          <t>Revenue</t>
        </is>
      </c>
      <c r="D21" s="24" t="inlineStr">
        <is>
          <t>Expenses</t>
        </is>
      </c>
      <c r="E21" s="24" t="inlineStr">
        <is>
          <t>Profit</t>
        </is>
      </c>
      <c r="F21" s="24" t="inlineStr">
        <is>
          <t>Margin</t>
        </is>
      </c>
      <c r="G21" s="24" t="inlineStr">
        <is>
          <t>Rev / Hour</t>
        </is>
      </c>
      <c r="H21" s="24" t="inlineStr">
        <is>
          <t>Outstanding Reimb.</t>
        </is>
      </c>
    </row>
    <row r="22">
      <c r="B22" s="19">
        <f>IF(ROW()-21&lt;=COUNTA(Tbl_Companies[Company ID]),IFERROR(Companies!C4,""),"")</f>
        <v/>
      </c>
      <c r="C22" s="21">
        <f>IF(ROW()-21&lt;=COUNTA(Tbl_Companies[Company ID]),IFERROR(Companies!V4,""),"")</f>
        <v/>
      </c>
      <c r="D22" s="21">
        <f>IF(ROW()-21&lt;=COUNTA(Tbl_Companies[Company ID]),IFERROR(Companies!W4,""),"")</f>
        <v/>
      </c>
      <c r="E22" s="21">
        <f>IF(ROW()-21&lt;=COUNTA(Tbl_Companies[Company ID]),IFERROR(Companies!X4,""),"")</f>
        <v/>
      </c>
      <c r="F22" s="26">
        <f>IF(ROW()-21&lt;=COUNTA(Tbl_Companies[Company ID]),IFERROR(Companies!Y4,""),"")</f>
        <v/>
      </c>
      <c r="G22" s="21">
        <f>IF(ROW()-21&lt;=COUNTA(Tbl_Companies[Company ID]),IFERROR(Companies!AC4,""),"")</f>
        <v/>
      </c>
      <c r="H22" s="21">
        <f>IF(ROW()-21&lt;=COUNTA(Tbl_Companies[Company ID]),IFERROR(Companies!AD4,""),"")</f>
        <v/>
      </c>
    </row>
    <row r="23">
      <c r="B23" s="19">
        <f>IF(ROW()-21&lt;=COUNTA(Tbl_Companies[Company ID]),IFERROR(Companies!C5,""),"")</f>
        <v/>
      </c>
      <c r="C23" s="21">
        <f>IF(ROW()-21&lt;=COUNTA(Tbl_Companies[Company ID]),IFERROR(Companies!V5,""),"")</f>
        <v/>
      </c>
      <c r="D23" s="21">
        <f>IF(ROW()-21&lt;=COUNTA(Tbl_Companies[Company ID]),IFERROR(Companies!W5,""),"")</f>
        <v/>
      </c>
      <c r="E23" s="21">
        <f>IF(ROW()-21&lt;=COUNTA(Tbl_Companies[Company ID]),IFERROR(Companies!X5,""),"")</f>
        <v/>
      </c>
      <c r="F23" s="26">
        <f>IF(ROW()-21&lt;=COUNTA(Tbl_Companies[Company ID]),IFERROR(Companies!Y5,""),"")</f>
        <v/>
      </c>
      <c r="G23" s="21">
        <f>IF(ROW()-21&lt;=COUNTA(Tbl_Companies[Company ID]),IFERROR(Companies!AC5,""),"")</f>
        <v/>
      </c>
      <c r="H23" s="21">
        <f>IF(ROW()-21&lt;=COUNTA(Tbl_Companies[Company ID]),IFERROR(Companies!AD5,""),"")</f>
        <v/>
      </c>
    </row>
    <row r="24">
      <c r="B24" s="19">
        <f>IF(ROW()-21&lt;=COUNTA(Tbl_Companies[Company ID]),IFERROR(Companies!C6,""),"")</f>
        <v/>
      </c>
      <c r="C24" s="21">
        <f>IF(ROW()-21&lt;=COUNTA(Tbl_Companies[Company ID]),IFERROR(Companies!V6,""),"")</f>
        <v/>
      </c>
      <c r="D24" s="21">
        <f>IF(ROW()-21&lt;=COUNTA(Tbl_Companies[Company ID]),IFERROR(Companies!W6,""),"")</f>
        <v/>
      </c>
      <c r="E24" s="21">
        <f>IF(ROW()-21&lt;=COUNTA(Tbl_Companies[Company ID]),IFERROR(Companies!X6,""),"")</f>
        <v/>
      </c>
      <c r="F24" s="26">
        <f>IF(ROW()-21&lt;=COUNTA(Tbl_Companies[Company ID]),IFERROR(Companies!Y6,""),"")</f>
        <v/>
      </c>
      <c r="G24" s="21">
        <f>IF(ROW()-21&lt;=COUNTA(Tbl_Companies[Company ID]),IFERROR(Companies!AC6,""),"")</f>
        <v/>
      </c>
      <c r="H24" s="21">
        <f>IF(ROW()-21&lt;=COUNTA(Tbl_Companies[Company ID]),IFERROR(Companies!AD6,""),"")</f>
        <v/>
      </c>
    </row>
    <row r="25">
      <c r="B25" s="19">
        <f>IF(ROW()-21&lt;=COUNTA(Tbl_Companies[Company ID]),IFERROR(Companies!C7,""),"")</f>
        <v/>
      </c>
      <c r="C25" s="21">
        <f>IF(ROW()-21&lt;=COUNTA(Tbl_Companies[Company ID]),IFERROR(Companies!V7,""),"")</f>
        <v/>
      </c>
      <c r="D25" s="21">
        <f>IF(ROW()-21&lt;=COUNTA(Tbl_Companies[Company ID]),IFERROR(Companies!W7,""),"")</f>
        <v/>
      </c>
      <c r="E25" s="21">
        <f>IF(ROW()-21&lt;=COUNTA(Tbl_Companies[Company ID]),IFERROR(Companies!X7,""),"")</f>
        <v/>
      </c>
      <c r="F25" s="26">
        <f>IF(ROW()-21&lt;=COUNTA(Tbl_Companies[Company ID]),IFERROR(Companies!Y7,""),"")</f>
        <v/>
      </c>
      <c r="G25" s="21">
        <f>IF(ROW()-21&lt;=COUNTA(Tbl_Companies[Company ID]),IFERROR(Companies!AC7,""),"")</f>
        <v/>
      </c>
      <c r="H25" s="21">
        <f>IF(ROW()-21&lt;=COUNTA(Tbl_Companies[Company ID]),IFERROR(Companies!AD7,""),"")</f>
        <v/>
      </c>
    </row>
    <row r="26">
      <c r="B26" s="19">
        <f>IF(ROW()-21&lt;=COUNTA(Tbl_Companies[Company ID]),IFERROR(Companies!C8,""),"")</f>
        <v/>
      </c>
      <c r="C26" s="21">
        <f>IF(ROW()-21&lt;=COUNTA(Tbl_Companies[Company ID]),IFERROR(Companies!V8,""),"")</f>
        <v/>
      </c>
      <c r="D26" s="21">
        <f>IF(ROW()-21&lt;=COUNTA(Tbl_Companies[Company ID]),IFERROR(Companies!W8,""),"")</f>
        <v/>
      </c>
      <c r="E26" s="21">
        <f>IF(ROW()-21&lt;=COUNTA(Tbl_Companies[Company ID]),IFERROR(Companies!X8,""),"")</f>
        <v/>
      </c>
      <c r="F26" s="26">
        <f>IF(ROW()-21&lt;=COUNTA(Tbl_Companies[Company ID]),IFERROR(Companies!Y8,""),"")</f>
        <v/>
      </c>
      <c r="G26" s="21">
        <f>IF(ROW()-21&lt;=COUNTA(Tbl_Companies[Company ID]),IFERROR(Companies!AC8,""),"")</f>
        <v/>
      </c>
      <c r="H26" s="21">
        <f>IF(ROW()-21&lt;=COUNTA(Tbl_Companies[Company ID]),IFERROR(Companies!AD8,""),"")</f>
        <v/>
      </c>
    </row>
    <row r="27">
      <c r="B27" s="19">
        <f>IF(ROW()-21&lt;=COUNTA(Tbl_Companies[Company ID]),IFERROR(Companies!C9,""),"")</f>
        <v/>
      </c>
      <c r="C27" s="21">
        <f>IF(ROW()-21&lt;=COUNTA(Tbl_Companies[Company ID]),IFERROR(Companies!V9,""),"")</f>
        <v/>
      </c>
      <c r="D27" s="21">
        <f>IF(ROW()-21&lt;=COUNTA(Tbl_Companies[Company ID]),IFERROR(Companies!W9,""),"")</f>
        <v/>
      </c>
      <c r="E27" s="21">
        <f>IF(ROW()-21&lt;=COUNTA(Tbl_Companies[Company ID]),IFERROR(Companies!X9,""),"")</f>
        <v/>
      </c>
      <c r="F27" s="26">
        <f>IF(ROW()-21&lt;=COUNTA(Tbl_Companies[Company ID]),IFERROR(Companies!Y9,""),"")</f>
        <v/>
      </c>
      <c r="G27" s="21">
        <f>IF(ROW()-21&lt;=COUNTA(Tbl_Companies[Company ID]),IFERROR(Companies!AC9,""),"")</f>
        <v/>
      </c>
      <c r="H27" s="21">
        <f>IF(ROW()-21&lt;=COUNTA(Tbl_Companies[Company ID]),IFERROR(Companies!AD9,""),"")</f>
        <v/>
      </c>
    </row>
    <row r="28">
      <c r="B28" s="19">
        <f>IF(ROW()-21&lt;=COUNTA(Tbl_Companies[Company ID]),IFERROR(Companies!C10,""),"")</f>
        <v/>
      </c>
      <c r="C28" s="21">
        <f>IF(ROW()-21&lt;=COUNTA(Tbl_Companies[Company ID]),IFERROR(Companies!V10,""),"")</f>
        <v/>
      </c>
      <c r="D28" s="21">
        <f>IF(ROW()-21&lt;=COUNTA(Tbl_Companies[Company ID]),IFERROR(Companies!W10,""),"")</f>
        <v/>
      </c>
      <c r="E28" s="21">
        <f>IF(ROW()-21&lt;=COUNTA(Tbl_Companies[Company ID]),IFERROR(Companies!X10,""),"")</f>
        <v/>
      </c>
      <c r="F28" s="26">
        <f>IF(ROW()-21&lt;=COUNTA(Tbl_Companies[Company ID]),IFERROR(Companies!Y10,""),"")</f>
        <v/>
      </c>
      <c r="G28" s="21">
        <f>IF(ROW()-21&lt;=COUNTA(Tbl_Companies[Company ID]),IFERROR(Companies!AC10,""),"")</f>
        <v/>
      </c>
      <c r="H28" s="21">
        <f>IF(ROW()-21&lt;=COUNTA(Tbl_Companies[Company ID]),IFERROR(Companies!AD10,""),"")</f>
        <v/>
      </c>
    </row>
    <row r="29">
      <c r="B29" s="19">
        <f>IF(ROW()-21&lt;=COUNTA(Tbl_Companies[Company ID]),IFERROR(Companies!C11,""),"")</f>
        <v/>
      </c>
      <c r="C29" s="21">
        <f>IF(ROW()-21&lt;=COUNTA(Tbl_Companies[Company ID]),IFERROR(Companies!V11,""),"")</f>
        <v/>
      </c>
      <c r="D29" s="21">
        <f>IF(ROW()-21&lt;=COUNTA(Tbl_Companies[Company ID]),IFERROR(Companies!W11,""),"")</f>
        <v/>
      </c>
      <c r="E29" s="21">
        <f>IF(ROW()-21&lt;=COUNTA(Tbl_Companies[Company ID]),IFERROR(Companies!X11,""),"")</f>
        <v/>
      </c>
      <c r="F29" s="26">
        <f>IF(ROW()-21&lt;=COUNTA(Tbl_Companies[Company ID]),IFERROR(Companies!Y11,""),"")</f>
        <v/>
      </c>
      <c r="G29" s="21">
        <f>IF(ROW()-21&lt;=COUNTA(Tbl_Companies[Company ID]),IFERROR(Companies!AC11,""),"")</f>
        <v/>
      </c>
      <c r="H29" s="21">
        <f>IF(ROW()-21&lt;=COUNTA(Tbl_Companies[Company ID]),IFERROR(Companies!AD11,""),"")</f>
        <v/>
      </c>
    </row>
    <row r="30">
      <c r="B30" s="19">
        <f>IF(ROW()-21&lt;=COUNTA(Tbl_Companies[Company ID]),IFERROR(Companies!C12,""),"")</f>
        <v/>
      </c>
      <c r="C30" s="21">
        <f>IF(ROW()-21&lt;=COUNTA(Tbl_Companies[Company ID]),IFERROR(Companies!V12,""),"")</f>
        <v/>
      </c>
      <c r="D30" s="21">
        <f>IF(ROW()-21&lt;=COUNTA(Tbl_Companies[Company ID]),IFERROR(Companies!W12,""),"")</f>
        <v/>
      </c>
      <c r="E30" s="21">
        <f>IF(ROW()-21&lt;=COUNTA(Tbl_Companies[Company ID]),IFERROR(Companies!X12,""),"")</f>
        <v/>
      </c>
      <c r="F30" s="26">
        <f>IF(ROW()-21&lt;=COUNTA(Tbl_Companies[Company ID]),IFERROR(Companies!Y12,""),"")</f>
        <v/>
      </c>
      <c r="G30" s="21">
        <f>IF(ROW()-21&lt;=COUNTA(Tbl_Companies[Company ID]),IFERROR(Companies!AC12,""),"")</f>
        <v/>
      </c>
      <c r="H30" s="21">
        <f>IF(ROW()-21&lt;=COUNTA(Tbl_Companies[Company ID]),IFERROR(Companies!AD12,""),"")</f>
        <v/>
      </c>
    </row>
    <row r="31">
      <c r="B31" s="19">
        <f>IF(ROW()-21&lt;=COUNTA(Tbl_Companies[Company ID]),IFERROR(Companies!C13,""),"")</f>
        <v/>
      </c>
      <c r="C31" s="21">
        <f>IF(ROW()-21&lt;=COUNTA(Tbl_Companies[Company ID]),IFERROR(Companies!V13,""),"")</f>
        <v/>
      </c>
      <c r="D31" s="21">
        <f>IF(ROW()-21&lt;=COUNTA(Tbl_Companies[Company ID]),IFERROR(Companies!W13,""),"")</f>
        <v/>
      </c>
      <c r="E31" s="21">
        <f>IF(ROW()-21&lt;=COUNTA(Tbl_Companies[Company ID]),IFERROR(Companies!X13,""),"")</f>
        <v/>
      </c>
      <c r="F31" s="26">
        <f>IF(ROW()-21&lt;=COUNTA(Tbl_Companies[Company ID]),IFERROR(Companies!Y13,""),"")</f>
        <v/>
      </c>
      <c r="G31" s="21">
        <f>IF(ROW()-21&lt;=COUNTA(Tbl_Companies[Company ID]),IFERROR(Companies!AC13,""),"")</f>
        <v/>
      </c>
      <c r="H31" s="21">
        <f>IF(ROW()-21&lt;=COUNTA(Tbl_Companies[Company ID]),IFERROR(Companies!AD13,""),"")</f>
        <v/>
      </c>
    </row>
    <row r="32">
      <c r="B32" s="19">
        <f>IF(ROW()-21&lt;=COUNTA(Tbl_Companies[Company ID]),IFERROR(Companies!C14,""),"")</f>
        <v/>
      </c>
      <c r="C32" s="21">
        <f>IF(ROW()-21&lt;=COUNTA(Tbl_Companies[Company ID]),IFERROR(Companies!V14,""),"")</f>
        <v/>
      </c>
      <c r="D32" s="21">
        <f>IF(ROW()-21&lt;=COUNTA(Tbl_Companies[Company ID]),IFERROR(Companies!W14,""),"")</f>
        <v/>
      </c>
      <c r="E32" s="21">
        <f>IF(ROW()-21&lt;=COUNTA(Tbl_Companies[Company ID]),IFERROR(Companies!X14,""),"")</f>
        <v/>
      </c>
      <c r="F32" s="26">
        <f>IF(ROW()-21&lt;=COUNTA(Tbl_Companies[Company ID]),IFERROR(Companies!Y14,""),"")</f>
        <v/>
      </c>
      <c r="G32" s="21">
        <f>IF(ROW()-21&lt;=COUNTA(Tbl_Companies[Company ID]),IFERROR(Companies!AC14,""),"")</f>
        <v/>
      </c>
      <c r="H32" s="21">
        <f>IF(ROW()-21&lt;=COUNTA(Tbl_Companies[Company ID]),IFERROR(Companies!AD14,""),"")</f>
        <v/>
      </c>
    </row>
    <row r="33">
      <c r="B33" s="19">
        <f>IF(ROW()-21&lt;=COUNTA(Tbl_Companies[Company ID]),IFERROR(Companies!C15,""),"")</f>
        <v/>
      </c>
      <c r="C33" s="21">
        <f>IF(ROW()-21&lt;=COUNTA(Tbl_Companies[Company ID]),IFERROR(Companies!V15,""),"")</f>
        <v/>
      </c>
      <c r="D33" s="21">
        <f>IF(ROW()-21&lt;=COUNTA(Tbl_Companies[Company ID]),IFERROR(Companies!W15,""),"")</f>
        <v/>
      </c>
      <c r="E33" s="21">
        <f>IF(ROW()-21&lt;=COUNTA(Tbl_Companies[Company ID]),IFERROR(Companies!X15,""),"")</f>
        <v/>
      </c>
      <c r="F33" s="26">
        <f>IF(ROW()-21&lt;=COUNTA(Tbl_Companies[Company ID]),IFERROR(Companies!Y15,""),"")</f>
        <v/>
      </c>
      <c r="G33" s="21">
        <f>IF(ROW()-21&lt;=COUNTA(Tbl_Companies[Company ID]),IFERROR(Companies!AC15,""),"")</f>
        <v/>
      </c>
      <c r="H33" s="21">
        <f>IF(ROW()-21&lt;=COUNTA(Tbl_Companies[Company ID]),IFERROR(Companies!AD15,""),"")</f>
        <v/>
      </c>
    </row>
    <row r="34">
      <c r="B34" s="19">
        <f>IF(ROW()-21&lt;=COUNTA(Tbl_Companies[Company ID]),IFERROR(Companies!C16,""),"")</f>
        <v/>
      </c>
      <c r="C34" s="21">
        <f>IF(ROW()-21&lt;=COUNTA(Tbl_Companies[Company ID]),IFERROR(Companies!V16,""),"")</f>
        <v/>
      </c>
      <c r="D34" s="21">
        <f>IF(ROW()-21&lt;=COUNTA(Tbl_Companies[Company ID]),IFERROR(Companies!W16,""),"")</f>
        <v/>
      </c>
      <c r="E34" s="21">
        <f>IF(ROW()-21&lt;=COUNTA(Tbl_Companies[Company ID]),IFERROR(Companies!X16,""),"")</f>
        <v/>
      </c>
      <c r="F34" s="26">
        <f>IF(ROW()-21&lt;=COUNTA(Tbl_Companies[Company ID]),IFERROR(Companies!Y16,""),"")</f>
        <v/>
      </c>
      <c r="G34" s="21">
        <f>IF(ROW()-21&lt;=COUNTA(Tbl_Companies[Company ID]),IFERROR(Companies!AC16,""),"")</f>
        <v/>
      </c>
      <c r="H34" s="21">
        <f>IF(ROW()-21&lt;=COUNTA(Tbl_Companies[Company ID]),IFERROR(Companies!AD16,""),"")</f>
        <v/>
      </c>
    </row>
    <row r="35">
      <c r="B35" s="19">
        <f>IF(ROW()-21&lt;=COUNTA(Tbl_Companies[Company ID]),IFERROR(Companies!C17,""),"")</f>
        <v/>
      </c>
      <c r="C35" s="21">
        <f>IF(ROW()-21&lt;=COUNTA(Tbl_Companies[Company ID]),IFERROR(Companies!V17,""),"")</f>
        <v/>
      </c>
      <c r="D35" s="21">
        <f>IF(ROW()-21&lt;=COUNTA(Tbl_Companies[Company ID]),IFERROR(Companies!W17,""),"")</f>
        <v/>
      </c>
      <c r="E35" s="21">
        <f>IF(ROW()-21&lt;=COUNTA(Tbl_Companies[Company ID]),IFERROR(Companies!X17,""),"")</f>
        <v/>
      </c>
      <c r="F35" s="26">
        <f>IF(ROW()-21&lt;=COUNTA(Tbl_Companies[Company ID]),IFERROR(Companies!Y17,""),"")</f>
        <v/>
      </c>
      <c r="G35" s="21">
        <f>IF(ROW()-21&lt;=COUNTA(Tbl_Companies[Company ID]),IFERROR(Companies!AC17,""),"")</f>
        <v/>
      </c>
      <c r="H35" s="21">
        <f>IF(ROW()-21&lt;=COUNTA(Tbl_Companies[Company ID]),IFERROR(Companies!AD17,""),"")</f>
        <v/>
      </c>
    </row>
    <row r="36">
      <c r="B36" s="19">
        <f>IF(ROW()-21&lt;=COUNTA(Tbl_Companies[Company ID]),IFERROR(Companies!C18,""),"")</f>
        <v/>
      </c>
      <c r="C36" s="21">
        <f>IF(ROW()-21&lt;=COUNTA(Tbl_Companies[Company ID]),IFERROR(Companies!V18,""),"")</f>
        <v/>
      </c>
      <c r="D36" s="21">
        <f>IF(ROW()-21&lt;=COUNTA(Tbl_Companies[Company ID]),IFERROR(Companies!W18,""),"")</f>
        <v/>
      </c>
      <c r="E36" s="21">
        <f>IF(ROW()-21&lt;=COUNTA(Tbl_Companies[Company ID]),IFERROR(Companies!X18,""),"")</f>
        <v/>
      </c>
      <c r="F36" s="26">
        <f>IF(ROW()-21&lt;=COUNTA(Tbl_Companies[Company ID]),IFERROR(Companies!Y18,""),"")</f>
        <v/>
      </c>
      <c r="G36" s="21">
        <f>IF(ROW()-21&lt;=COUNTA(Tbl_Companies[Company ID]),IFERROR(Companies!AC18,""),"")</f>
        <v/>
      </c>
      <c r="H36" s="21">
        <f>IF(ROW()-21&lt;=COUNTA(Tbl_Companies[Company ID]),IFERROR(Companies!AD18,""),"")</f>
        <v/>
      </c>
    </row>
    <row r="37">
      <c r="B37" s="19">
        <f>IF(ROW()-21&lt;=COUNTA(Tbl_Companies[Company ID]),IFERROR(Companies!C19,""),"")</f>
        <v/>
      </c>
      <c r="C37" s="21">
        <f>IF(ROW()-21&lt;=COUNTA(Tbl_Companies[Company ID]),IFERROR(Companies!V19,""),"")</f>
        <v/>
      </c>
      <c r="D37" s="21">
        <f>IF(ROW()-21&lt;=COUNTA(Tbl_Companies[Company ID]),IFERROR(Companies!W19,""),"")</f>
        <v/>
      </c>
      <c r="E37" s="21">
        <f>IF(ROW()-21&lt;=COUNTA(Tbl_Companies[Company ID]),IFERROR(Companies!X19,""),"")</f>
        <v/>
      </c>
      <c r="F37" s="26">
        <f>IF(ROW()-21&lt;=COUNTA(Tbl_Companies[Company ID]),IFERROR(Companies!Y19,""),"")</f>
        <v/>
      </c>
      <c r="G37" s="21">
        <f>IF(ROW()-21&lt;=COUNTA(Tbl_Companies[Company ID]),IFERROR(Companies!AC19,""),"")</f>
        <v/>
      </c>
      <c r="H37" s="21">
        <f>IF(ROW()-21&lt;=COUNTA(Tbl_Companies[Company ID]),IFERROR(Companies!AD19,""),"")</f>
        <v/>
      </c>
    </row>
    <row r="38">
      <c r="B38" s="19">
        <f>IF(ROW()-21&lt;=COUNTA(Tbl_Companies[Company ID]),IFERROR(Companies!C20,""),"")</f>
        <v/>
      </c>
      <c r="C38" s="21">
        <f>IF(ROW()-21&lt;=COUNTA(Tbl_Companies[Company ID]),IFERROR(Companies!V20,""),"")</f>
        <v/>
      </c>
      <c r="D38" s="21">
        <f>IF(ROW()-21&lt;=COUNTA(Tbl_Companies[Company ID]),IFERROR(Companies!W20,""),"")</f>
        <v/>
      </c>
      <c r="E38" s="21">
        <f>IF(ROW()-21&lt;=COUNTA(Tbl_Companies[Company ID]),IFERROR(Companies!X20,""),"")</f>
        <v/>
      </c>
      <c r="F38" s="26">
        <f>IF(ROW()-21&lt;=COUNTA(Tbl_Companies[Company ID]),IFERROR(Companies!Y20,""),"")</f>
        <v/>
      </c>
      <c r="G38" s="21">
        <f>IF(ROW()-21&lt;=COUNTA(Tbl_Companies[Company ID]),IFERROR(Companies!AC20,""),"")</f>
        <v/>
      </c>
      <c r="H38" s="21">
        <f>IF(ROW()-21&lt;=COUNTA(Tbl_Companies[Company ID]),IFERROR(Companies!AD20,""),"")</f>
        <v/>
      </c>
    </row>
    <row r="39">
      <c r="B39" s="19">
        <f>IF(ROW()-21&lt;=COUNTA(Tbl_Companies[Company ID]),IFERROR(Companies!C21,""),"")</f>
        <v/>
      </c>
      <c r="C39" s="21">
        <f>IF(ROW()-21&lt;=COUNTA(Tbl_Companies[Company ID]),IFERROR(Companies!V21,""),"")</f>
        <v/>
      </c>
      <c r="D39" s="21">
        <f>IF(ROW()-21&lt;=COUNTA(Tbl_Companies[Company ID]),IFERROR(Companies!W21,""),"")</f>
        <v/>
      </c>
      <c r="E39" s="21">
        <f>IF(ROW()-21&lt;=COUNTA(Tbl_Companies[Company ID]),IFERROR(Companies!X21,""),"")</f>
        <v/>
      </c>
      <c r="F39" s="26">
        <f>IF(ROW()-21&lt;=COUNTA(Tbl_Companies[Company ID]),IFERROR(Companies!Y21,""),"")</f>
        <v/>
      </c>
      <c r="G39" s="21">
        <f>IF(ROW()-21&lt;=COUNTA(Tbl_Companies[Company ID]),IFERROR(Companies!AC21,""),"")</f>
        <v/>
      </c>
      <c r="H39" s="21">
        <f>IF(ROW()-21&lt;=COUNTA(Tbl_Companies[Company ID]),IFERROR(Companies!AD21,""),"")</f>
        <v/>
      </c>
    </row>
    <row r="40">
      <c r="B40" s="19">
        <f>IF(ROW()-21&lt;=COUNTA(Tbl_Companies[Company ID]),IFERROR(Companies!C22,""),"")</f>
        <v/>
      </c>
      <c r="C40" s="21">
        <f>IF(ROW()-21&lt;=COUNTA(Tbl_Companies[Company ID]),IFERROR(Companies!V22,""),"")</f>
        <v/>
      </c>
      <c r="D40" s="21">
        <f>IF(ROW()-21&lt;=COUNTA(Tbl_Companies[Company ID]),IFERROR(Companies!W22,""),"")</f>
        <v/>
      </c>
      <c r="E40" s="21">
        <f>IF(ROW()-21&lt;=COUNTA(Tbl_Companies[Company ID]),IFERROR(Companies!X22,""),"")</f>
        <v/>
      </c>
      <c r="F40" s="26">
        <f>IF(ROW()-21&lt;=COUNTA(Tbl_Companies[Company ID]),IFERROR(Companies!Y22,""),"")</f>
        <v/>
      </c>
      <c r="G40" s="21">
        <f>IF(ROW()-21&lt;=COUNTA(Tbl_Companies[Company ID]),IFERROR(Companies!AC22,""),"")</f>
        <v/>
      </c>
      <c r="H40" s="21">
        <f>IF(ROW()-21&lt;=COUNTA(Tbl_Companies[Company ID]),IFERROR(Companies!AD22,""),"")</f>
        <v/>
      </c>
    </row>
    <row r="41">
      <c r="B41" s="19">
        <f>IF(ROW()-21&lt;=COUNTA(Tbl_Companies[Company ID]),IFERROR(Companies!C23,""),"")</f>
        <v/>
      </c>
      <c r="C41" s="21">
        <f>IF(ROW()-21&lt;=COUNTA(Tbl_Companies[Company ID]),IFERROR(Companies!V23,""),"")</f>
        <v/>
      </c>
      <c r="D41" s="21">
        <f>IF(ROW()-21&lt;=COUNTA(Tbl_Companies[Company ID]),IFERROR(Companies!W23,""),"")</f>
        <v/>
      </c>
      <c r="E41" s="21">
        <f>IF(ROW()-21&lt;=COUNTA(Tbl_Companies[Company ID]),IFERROR(Companies!X23,""),"")</f>
        <v/>
      </c>
      <c r="F41" s="26">
        <f>IF(ROW()-21&lt;=COUNTA(Tbl_Companies[Company ID]),IFERROR(Companies!Y23,""),"")</f>
        <v/>
      </c>
      <c r="G41" s="21">
        <f>IF(ROW()-21&lt;=COUNTA(Tbl_Companies[Company ID]),IFERROR(Companies!AC23,""),"")</f>
        <v/>
      </c>
      <c r="H41" s="21">
        <f>IF(ROW()-21&lt;=COUNTA(Tbl_Companies[Company ID]),IFERROR(Companies!AD23,""),"")</f>
        <v/>
      </c>
    </row>
    <row r="42">
      <c r="B42" s="19">
        <f>IF(ROW()-21&lt;=COUNTA(Tbl_Companies[Company ID]),IFERROR(Companies!C24,""),"")</f>
        <v/>
      </c>
      <c r="C42" s="21">
        <f>IF(ROW()-21&lt;=COUNTA(Tbl_Companies[Company ID]),IFERROR(Companies!V24,""),"")</f>
        <v/>
      </c>
      <c r="D42" s="21">
        <f>IF(ROW()-21&lt;=COUNTA(Tbl_Companies[Company ID]),IFERROR(Companies!W24,""),"")</f>
        <v/>
      </c>
      <c r="E42" s="21">
        <f>IF(ROW()-21&lt;=COUNTA(Tbl_Companies[Company ID]),IFERROR(Companies!X24,""),"")</f>
        <v/>
      </c>
      <c r="F42" s="26">
        <f>IF(ROW()-21&lt;=COUNTA(Tbl_Companies[Company ID]),IFERROR(Companies!Y24,""),"")</f>
        <v/>
      </c>
      <c r="G42" s="21">
        <f>IF(ROW()-21&lt;=COUNTA(Tbl_Companies[Company ID]),IFERROR(Companies!AC24,""),"")</f>
        <v/>
      </c>
      <c r="H42" s="21">
        <f>IF(ROW()-21&lt;=COUNTA(Tbl_Companies[Company ID]),IFERROR(Companies!AD24,""),"")</f>
        <v/>
      </c>
    </row>
    <row r="43">
      <c r="B43" s="19">
        <f>IF(ROW()-21&lt;=COUNTA(Tbl_Companies[Company ID]),IFERROR(Companies!C25,""),"")</f>
        <v/>
      </c>
      <c r="C43" s="21">
        <f>IF(ROW()-21&lt;=COUNTA(Tbl_Companies[Company ID]),IFERROR(Companies!V25,""),"")</f>
        <v/>
      </c>
      <c r="D43" s="21">
        <f>IF(ROW()-21&lt;=COUNTA(Tbl_Companies[Company ID]),IFERROR(Companies!W25,""),"")</f>
        <v/>
      </c>
      <c r="E43" s="21">
        <f>IF(ROW()-21&lt;=COUNTA(Tbl_Companies[Company ID]),IFERROR(Companies!X25,""),"")</f>
        <v/>
      </c>
      <c r="F43" s="26">
        <f>IF(ROW()-21&lt;=COUNTA(Tbl_Companies[Company ID]),IFERROR(Companies!Y25,""),"")</f>
        <v/>
      </c>
      <c r="G43" s="21">
        <f>IF(ROW()-21&lt;=COUNTA(Tbl_Companies[Company ID]),IFERROR(Companies!AC25,""),"")</f>
        <v/>
      </c>
      <c r="H43" s="21">
        <f>IF(ROW()-21&lt;=COUNTA(Tbl_Companies[Company ID]),IFERROR(Companies!AD25,""),"")</f>
        <v/>
      </c>
    </row>
    <row r="44">
      <c r="B44" s="19">
        <f>IF(ROW()-21&lt;=COUNTA(Tbl_Companies[Company ID]),IFERROR(Companies!C26,""),"")</f>
        <v/>
      </c>
      <c r="C44" s="21">
        <f>IF(ROW()-21&lt;=COUNTA(Tbl_Companies[Company ID]),IFERROR(Companies!V26,""),"")</f>
        <v/>
      </c>
      <c r="D44" s="21">
        <f>IF(ROW()-21&lt;=COUNTA(Tbl_Companies[Company ID]),IFERROR(Companies!W26,""),"")</f>
        <v/>
      </c>
      <c r="E44" s="21">
        <f>IF(ROW()-21&lt;=COUNTA(Tbl_Companies[Company ID]),IFERROR(Companies!X26,""),"")</f>
        <v/>
      </c>
      <c r="F44" s="26">
        <f>IF(ROW()-21&lt;=COUNTA(Tbl_Companies[Company ID]),IFERROR(Companies!Y26,""),"")</f>
        <v/>
      </c>
      <c r="G44" s="21">
        <f>IF(ROW()-21&lt;=COUNTA(Tbl_Companies[Company ID]),IFERROR(Companies!AC26,""),"")</f>
        <v/>
      </c>
      <c r="H44" s="21">
        <f>IF(ROW()-21&lt;=COUNTA(Tbl_Companies[Company ID]),IFERROR(Companies!AD26,""),"")</f>
        <v/>
      </c>
    </row>
    <row r="45">
      <c r="B45" s="19">
        <f>IF(ROW()-21&lt;=COUNTA(Tbl_Companies[Company ID]),IFERROR(Companies!C27,""),"")</f>
        <v/>
      </c>
      <c r="C45" s="21">
        <f>IF(ROW()-21&lt;=COUNTA(Tbl_Companies[Company ID]),IFERROR(Companies!V27,""),"")</f>
        <v/>
      </c>
      <c r="D45" s="21">
        <f>IF(ROW()-21&lt;=COUNTA(Tbl_Companies[Company ID]),IFERROR(Companies!W27,""),"")</f>
        <v/>
      </c>
      <c r="E45" s="21">
        <f>IF(ROW()-21&lt;=COUNTA(Tbl_Companies[Company ID]),IFERROR(Companies!X27,""),"")</f>
        <v/>
      </c>
      <c r="F45" s="26">
        <f>IF(ROW()-21&lt;=COUNTA(Tbl_Companies[Company ID]),IFERROR(Companies!Y27,""),"")</f>
        <v/>
      </c>
      <c r="G45" s="21">
        <f>IF(ROW()-21&lt;=COUNTA(Tbl_Companies[Company ID]),IFERROR(Companies!AC27,""),"")</f>
        <v/>
      </c>
      <c r="H45" s="21">
        <f>IF(ROW()-21&lt;=COUNTA(Tbl_Companies[Company ID]),IFERROR(Companies!AD27,""),"")</f>
        <v/>
      </c>
    </row>
    <row r="46">
      <c r="B46" s="19">
        <f>IF(ROW()-21&lt;=COUNTA(Tbl_Companies[Company ID]),IFERROR(Companies!C28,""),"")</f>
        <v/>
      </c>
      <c r="C46" s="21">
        <f>IF(ROW()-21&lt;=COUNTA(Tbl_Companies[Company ID]),IFERROR(Companies!V28,""),"")</f>
        <v/>
      </c>
      <c r="D46" s="21">
        <f>IF(ROW()-21&lt;=COUNTA(Tbl_Companies[Company ID]),IFERROR(Companies!W28,""),"")</f>
        <v/>
      </c>
      <c r="E46" s="21">
        <f>IF(ROW()-21&lt;=COUNTA(Tbl_Companies[Company ID]),IFERROR(Companies!X28,""),"")</f>
        <v/>
      </c>
      <c r="F46" s="26">
        <f>IF(ROW()-21&lt;=COUNTA(Tbl_Companies[Company ID]),IFERROR(Companies!Y28,""),"")</f>
        <v/>
      </c>
      <c r="G46" s="21">
        <f>IF(ROW()-21&lt;=COUNTA(Tbl_Companies[Company ID]),IFERROR(Companies!AC28,""),"")</f>
        <v/>
      </c>
      <c r="H46" s="21">
        <f>IF(ROW()-21&lt;=COUNTA(Tbl_Companies[Company ID]),IFERROR(Companies!AD28,""),"")</f>
        <v/>
      </c>
    </row>
    <row r="66">
      <c r="B66" s="4" t="inlineStr">
        <is>
          <t>EXPENSES BY CATEGORY</t>
        </is>
      </c>
    </row>
    <row r="67">
      <c r="B67" s="29" t="inlineStr">
        <is>
          <t>Category</t>
        </is>
      </c>
      <c r="C67" s="29" t="inlineStr">
        <is>
          <t>Total Spent</t>
        </is>
      </c>
    </row>
    <row r="68">
      <c r="B68" s="19">
        <f>Lookups!V4</f>
        <v/>
      </c>
      <c r="C68" s="21">
        <f>ROUND(SUMIFS(Tbl_Expenses[Total],Tbl_Expenses[Category],B68),2)</f>
        <v/>
      </c>
    </row>
    <row r="69">
      <c r="B69" s="19">
        <f>Lookups!V5</f>
        <v/>
      </c>
      <c r="C69" s="21">
        <f>ROUND(SUMIFS(Tbl_Expenses[Total],Tbl_Expenses[Category],B69),2)</f>
        <v/>
      </c>
    </row>
    <row r="70">
      <c r="B70" s="19">
        <f>Lookups!V6</f>
        <v/>
      </c>
      <c r="C70" s="21">
        <f>ROUND(SUMIFS(Tbl_Expenses[Total],Tbl_Expenses[Category],B70),2)</f>
        <v/>
      </c>
    </row>
    <row r="71">
      <c r="B71" s="19">
        <f>Lookups!V7</f>
        <v/>
      </c>
      <c r="C71" s="21">
        <f>ROUND(SUMIFS(Tbl_Expenses[Total],Tbl_Expenses[Category],B71),2)</f>
        <v/>
      </c>
    </row>
    <row r="72">
      <c r="B72" s="19">
        <f>Lookups!V8</f>
        <v/>
      </c>
      <c r="C72" s="21">
        <f>ROUND(SUMIFS(Tbl_Expenses[Total],Tbl_Expenses[Category],B72),2)</f>
        <v/>
      </c>
    </row>
    <row r="73">
      <c r="B73" s="19">
        <f>Lookups!V9</f>
        <v/>
      </c>
      <c r="C73" s="21">
        <f>ROUND(SUMIFS(Tbl_Expenses[Total],Tbl_Expenses[Category],B73),2)</f>
        <v/>
      </c>
    </row>
    <row r="74">
      <c r="B74" s="19">
        <f>Lookups!V10</f>
        <v/>
      </c>
      <c r="C74" s="21">
        <f>ROUND(SUMIFS(Tbl_Expenses[Total],Tbl_Expenses[Category],B74),2)</f>
        <v/>
      </c>
    </row>
    <row r="75">
      <c r="B75" s="19">
        <f>Lookups!V11</f>
        <v/>
      </c>
      <c r="C75" s="21">
        <f>ROUND(SUMIFS(Tbl_Expenses[Total],Tbl_Expenses[Category],B75),2)</f>
        <v/>
      </c>
    </row>
    <row r="76">
      <c r="B76" s="19">
        <f>Lookups!V12</f>
        <v/>
      </c>
      <c r="C76" s="21">
        <f>ROUND(SUMIFS(Tbl_Expenses[Total],Tbl_Expenses[Category],B76),2)</f>
        <v/>
      </c>
    </row>
    <row r="77">
      <c r="B77" s="19">
        <f>Lookups!V13</f>
        <v/>
      </c>
      <c r="C77" s="21">
        <f>ROUND(SUMIFS(Tbl_Expenses[Total],Tbl_Expenses[Category],B77),2)</f>
        <v/>
      </c>
    </row>
    <row r="78">
      <c r="B78" s="19">
        <f>Lookups!V14</f>
        <v/>
      </c>
      <c r="C78" s="21">
        <f>ROUND(SUMIFS(Tbl_Expenses[Total],Tbl_Expenses[Category],B78),2)</f>
        <v/>
      </c>
    </row>
    <row r="79">
      <c r="B79" s="19">
        <f>Lookups!V15</f>
        <v/>
      </c>
      <c r="C79" s="21">
        <f>ROUND(SUMIFS(Tbl_Expenses[Total],Tbl_Expenses[Category],B79),2)</f>
        <v/>
      </c>
    </row>
    <row r="80">
      <c r="B80" s="19">
        <f>Lookups!V16</f>
        <v/>
      </c>
      <c r="C80" s="21">
        <f>ROUND(SUMIFS(Tbl_Expenses[Total],Tbl_Expenses[Category],B80),2)</f>
        <v/>
      </c>
    </row>
    <row r="81">
      <c r="B81" s="19">
        <f>Lookups!V17</f>
        <v/>
      </c>
      <c r="C81" s="21">
        <f>ROUND(SUMIFS(Tbl_Expenses[Total],Tbl_Expenses[Category],B81),2)</f>
        <v/>
      </c>
    </row>
  </sheetData>
  <mergeCells count="20">
    <mergeCell ref="B11:D11"/>
    <mergeCell ref="E16:G17"/>
    <mergeCell ref="E12:G13"/>
    <mergeCell ref="E15:G15"/>
    <mergeCell ref="H11:J11"/>
    <mergeCell ref="E8:F8"/>
    <mergeCell ref="Q8:R8"/>
    <mergeCell ref="B16:D17"/>
    <mergeCell ref="E11:G11"/>
    <mergeCell ref="B2:O4"/>
    <mergeCell ref="B12:D13"/>
    <mergeCell ref="B15:D15"/>
    <mergeCell ref="B8:C8"/>
    <mergeCell ref="N8:O8"/>
    <mergeCell ref="H15:J15"/>
    <mergeCell ref="K8:L8"/>
    <mergeCell ref="B5:O5"/>
    <mergeCell ref="H16:J17"/>
    <mergeCell ref="H8:I8"/>
    <mergeCell ref="H12:J13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2026-07-27T19:21:59Z</dcterms:created>
  <dcterms:modified xsi:type="dcterms:W3CDTF">2026-07-27T19:21:59Z</dcterms:modified>
</cp:coreProperties>
</file>